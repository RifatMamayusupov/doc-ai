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535" firstSheet="1" activeTab="1"/>
  </bookViews>
  <sheets>
    <sheet name="корабог" sheetId="1" state="hidden" r:id="rId1"/>
    <sheet name="накопитель корабог  (2)" sheetId="9" r:id="rId2"/>
  </sheets>
  <externalReferences>
    <externalReference r:id="rId3"/>
    <externalReference r:id="rId4"/>
    <externalReference r:id="rId5"/>
    <externalReference r:id="rId6"/>
  </externalReferences>
  <definedNames>
    <definedName name="_na1" localSheetId="1">[1]Л20!#REF!</definedName>
    <definedName name="_na1">[1]Л20!#REF!</definedName>
    <definedName name="_na2" localSheetId="1">#REF!</definedName>
    <definedName name="_na2">#REF!</definedName>
    <definedName name="_na3" localSheetId="1">#REF!</definedName>
    <definedName name="_na3">#REF!</definedName>
    <definedName name="_na4" localSheetId="1">#REF!</definedName>
    <definedName name="_na4">#REF!</definedName>
    <definedName name="_na5" localSheetId="1">#REF!</definedName>
    <definedName name="_na5">#REF!</definedName>
    <definedName name="_na6" localSheetId="1">#REF!</definedName>
    <definedName name="_na6">#REF!</definedName>
    <definedName name="_na7" localSheetId="1">#REF!</definedName>
    <definedName name="_na7">#REF!</definedName>
    <definedName name="_na8" localSheetId="1">#REF!</definedName>
    <definedName name="_na8">#REF!</definedName>
    <definedName name="_xlnm._FilterDatabase" localSheetId="0" hidden="1">корабог!$A$18:$H$1179</definedName>
    <definedName name="_xlnm._FilterDatabase" localSheetId="1" hidden="1">'накопитель корабог  (2)'!$A$7:$F$1179</definedName>
    <definedName name="bases" localSheetId="1">#REF!</definedName>
    <definedName name="bases">#REF!</definedName>
    <definedName name="bases1" localSheetId="1">#REF!</definedName>
    <definedName name="bases1">#REF!</definedName>
    <definedName name="bases2" localSheetId="1">#REF!</definedName>
    <definedName name="bases2">#REF!</definedName>
    <definedName name="bases3" localSheetId="1">#REF!</definedName>
    <definedName name="bases3">#REF!</definedName>
    <definedName name="bases4" localSheetId="1">#REF!</definedName>
    <definedName name="bases4">#REF!</definedName>
    <definedName name="bases5" localSheetId="1">#REF!</definedName>
    <definedName name="bases5">#REF!</definedName>
    <definedName name="bases6" localSheetId="1">#REF!</definedName>
    <definedName name="bases6">#REF!</definedName>
    <definedName name="bases7" localSheetId="1">#REF!</definedName>
    <definedName name="bases7">#REF!</definedName>
    <definedName name="bases8" localSheetId="1">#REF!</definedName>
    <definedName name="bases8">#REF!</definedName>
    <definedName name="Build" localSheetId="1">#REF!</definedName>
    <definedName name="Build">#REF!</definedName>
    <definedName name="Build1" localSheetId="1">#REF!</definedName>
    <definedName name="Build1">#REF!</definedName>
    <definedName name="Build2" localSheetId="1">#REF!</definedName>
    <definedName name="Build2">#REF!</definedName>
    <definedName name="Build3" localSheetId="1">#REF!</definedName>
    <definedName name="Build3">#REF!</definedName>
    <definedName name="Build4" localSheetId="1">#REF!</definedName>
    <definedName name="Build4">#REF!</definedName>
    <definedName name="Build5" localSheetId="1">#REF!</definedName>
    <definedName name="Build5">#REF!</definedName>
    <definedName name="Build6" localSheetId="1">#REF!</definedName>
    <definedName name="Build6">#REF!</definedName>
    <definedName name="Build7" localSheetId="1">#REF!</definedName>
    <definedName name="Build7">#REF!</definedName>
    <definedName name="Build8" localSheetId="1">#REF!</definedName>
    <definedName name="Build8">#REF!</definedName>
    <definedName name="Data" localSheetId="1">[2]ЛРВ!#REF!</definedName>
    <definedName name="Data">[2]ЛРВ!#REF!</definedName>
    <definedName name="document_date" localSheetId="1">#REF!</definedName>
    <definedName name="document_date">#REF!</definedName>
    <definedName name="document_datу" localSheetId="1">#REF!</definedName>
    <definedName name="document_datу">#REF!</definedName>
    <definedName name="document_number" localSheetId="1">#REF!</definedName>
    <definedName name="document_number">#REF!</definedName>
    <definedName name="itog_title" localSheetId="1">#REF!</definedName>
    <definedName name="itog_title">#REF!</definedName>
    <definedName name="lsv" localSheetId="1">[1]Л20!#REF!</definedName>
    <definedName name="lsv">[1]Л20!#REF!</definedName>
    <definedName name="month" localSheetId="1">#REF!</definedName>
    <definedName name="month">#REF!</definedName>
    <definedName name="month_begin" localSheetId="1">#REF!</definedName>
    <definedName name="month_begin">#REF!</definedName>
    <definedName name="month_end" localSheetId="1">#REF!</definedName>
    <definedName name="month_end">#REF!</definedName>
    <definedName name="Na" localSheetId="1">[1]Р20!#REF!</definedName>
    <definedName name="Na">[1]Р20!#REF!</definedName>
    <definedName name="number" localSheetId="1">#REF!</definedName>
    <definedName name="number">#REF!</definedName>
    <definedName name="object" localSheetId="1">#REF!</definedName>
    <definedName name="object">#REF!</definedName>
    <definedName name="object_name" localSheetId="1">#REF!</definedName>
    <definedName name="object_name">#REF!</definedName>
    <definedName name="OBJECT_NUMBER" localSheetId="1">[1]Р20!#REF!</definedName>
    <definedName name="OBJECT_NUMBER">[1]Р20!#REF!</definedName>
    <definedName name="OBJECT_NUMBER1" localSheetId="1">[1]Л20!#REF!</definedName>
    <definedName name="OBJECT_NUMBER1">[1]Л20!#REF!</definedName>
    <definedName name="OBJECT_NUMBER2" localSheetId="1">#REF!</definedName>
    <definedName name="OBJECT_NUMBER2">#REF!</definedName>
    <definedName name="OBJECT_NUMBER3" localSheetId="1">#REF!</definedName>
    <definedName name="OBJECT_NUMBER3">#REF!</definedName>
    <definedName name="OBJECT_NUMBER4" localSheetId="1">#REF!</definedName>
    <definedName name="OBJECT_NUMBER4">#REF!</definedName>
    <definedName name="OBJECT_NUMBER5" localSheetId="1">#REF!</definedName>
    <definedName name="OBJECT_NUMBER5">#REF!</definedName>
    <definedName name="OBJECT_NUMBER6" localSheetId="1">#REF!</definedName>
    <definedName name="OBJECT_NUMBER6">#REF!</definedName>
    <definedName name="OBJECT_NUMBER7" localSheetId="1">#REF!</definedName>
    <definedName name="OBJECT_NUMBER7">#REF!</definedName>
    <definedName name="OBJECT_NUMBER8" localSheetId="1">#REF!</definedName>
    <definedName name="OBJECT_NUMBER8">#REF!</definedName>
    <definedName name="object1" localSheetId="1">#REF!</definedName>
    <definedName name="object1">#REF!</definedName>
    <definedName name="object2" localSheetId="1">#REF!</definedName>
    <definedName name="object2">#REF!</definedName>
    <definedName name="object3" localSheetId="1">#REF!</definedName>
    <definedName name="object3">#REF!</definedName>
    <definedName name="object4" localSheetId="1">#REF!</definedName>
    <definedName name="object4">#REF!</definedName>
    <definedName name="object5" localSheetId="1">#REF!</definedName>
    <definedName name="object5">#REF!</definedName>
    <definedName name="object6" localSheetId="1">#REF!</definedName>
    <definedName name="object6">#REF!</definedName>
    <definedName name="object7" localSheetId="1">#REF!</definedName>
    <definedName name="object7">#REF!</definedName>
    <definedName name="object8" localSheetId="1">#REF!</definedName>
    <definedName name="object8">#REF!</definedName>
    <definedName name="PR" localSheetId="1">#REF!</definedName>
    <definedName name="PR">#REF!</definedName>
    <definedName name="SRV" localSheetId="1">[1]Р20!#REF!</definedName>
    <definedName name="SRV">[1]Р20!#REF!</definedName>
    <definedName name="summa_work" localSheetId="1">#REF!</definedName>
    <definedName name="summa_work">#REF!</definedName>
    <definedName name="SUMRES1" localSheetId="1">#REF!</definedName>
    <definedName name="SUMRES1">#REF!</definedName>
    <definedName name="SUMRES2" localSheetId="1">#REF!</definedName>
    <definedName name="SUMRES2">#REF!</definedName>
    <definedName name="SUMRES3" localSheetId="1">#REF!</definedName>
    <definedName name="SUMRES3">#REF!</definedName>
    <definedName name="SUMRES4" localSheetId="1">#REF!</definedName>
    <definedName name="SUMRES4">#REF!</definedName>
    <definedName name="Title" localSheetId="1">#REF!</definedName>
    <definedName name="Title">#REF!</definedName>
    <definedName name="vor" localSheetId="1">#REF!</definedName>
    <definedName name="vor">#REF!</definedName>
    <definedName name="VR" localSheetId="1">#REF!</definedName>
    <definedName name="VR">#REF!</definedName>
    <definedName name="work_title" localSheetId="1">#REF!</definedName>
    <definedName name="work_title">#REF!</definedName>
    <definedName name="зт">[3]Ресурс!$G$17</definedName>
    <definedName name="КККК" localSheetId="1">[2]ЛРВ!#REF!</definedName>
    <definedName name="КККК">[2]ЛРВ!#REF!</definedName>
    <definedName name="мат">[3]Ресурс!$G$222</definedName>
    <definedName name="мех">[3]Ресурс!$G$106</definedName>
    <definedName name="_xlnm.Print_Area" localSheetId="0">корабог!$A$1:$H$1179</definedName>
    <definedName name="_xlnm.Print_Area" localSheetId="1">'накопитель корабог  (2)'!$A$1:$F$1167</definedName>
    <definedName name="Ташкилот">[4]Опер!$F$7</definedName>
    <definedName name="ТИТ2005" localSheetId="1">#REF!</definedName>
    <definedName name="ТИТ2005">#REF!</definedName>
    <definedName name="тк">[4]Опер!$F$3</definedName>
    <definedName name="труд" localSheetId="1">#REF!</definedName>
    <definedName name="труд">#REF!</definedName>
    <definedName name="янги" localSheetId="1">#REF!</definedName>
    <definedName name="янги">#REF!</definedName>
  </definedNames>
  <calcPr calcId="162913"/>
</workbook>
</file>

<file path=xl/calcChain.xml><?xml version="1.0" encoding="utf-8"?>
<calcChain xmlns="http://schemas.openxmlformats.org/spreadsheetml/2006/main">
  <c r="F1167" i="9" l="1"/>
  <c r="F1166" i="9"/>
  <c r="F1164" i="9"/>
  <c r="F1163" i="9"/>
  <c r="F1161" i="9"/>
  <c r="F1160" i="9"/>
  <c r="F1158" i="9"/>
  <c r="F1157" i="9"/>
  <c r="F1156" i="9"/>
  <c r="F1155" i="9"/>
  <c r="F1153" i="9"/>
  <c r="F1152" i="9"/>
  <c r="F1151" i="9"/>
  <c r="F1150" i="9"/>
  <c r="F1148" i="9"/>
  <c r="F1147" i="9"/>
  <c r="F1146" i="9"/>
  <c r="F1145" i="9"/>
  <c r="F1142" i="9"/>
  <c r="F1141" i="9"/>
  <c r="F1140" i="9"/>
  <c r="F1138" i="9"/>
  <c r="F1137" i="9"/>
  <c r="F1136" i="9"/>
  <c r="F1135" i="9"/>
  <c r="F1134" i="9"/>
  <c r="F1133" i="9"/>
  <c r="F1132" i="9"/>
  <c r="F1131" i="9"/>
  <c r="F1130" i="9"/>
  <c r="F1129" i="9"/>
  <c r="F1128" i="9"/>
  <c r="F1127" i="9"/>
  <c r="F1126" i="9"/>
  <c r="F1125" i="9"/>
  <c r="F1124" i="9"/>
  <c r="F1123" i="9"/>
  <c r="F1122" i="9"/>
  <c r="F1121" i="9"/>
  <c r="F1120" i="9"/>
  <c r="F1119" i="9"/>
  <c r="F1117" i="9"/>
  <c r="F1116" i="9"/>
  <c r="F1115" i="9"/>
  <c r="F1114" i="9"/>
  <c r="F1113" i="9"/>
  <c r="F1112" i="9"/>
  <c r="F1111" i="9"/>
  <c r="F1110" i="9"/>
  <c r="F1109" i="9"/>
  <c r="F1108" i="9"/>
  <c r="F1107" i="9"/>
  <c r="F1104" i="9"/>
  <c r="F1103" i="9"/>
  <c r="F1102" i="9"/>
  <c r="F1101" i="9"/>
  <c r="F1100" i="9"/>
  <c r="F1099" i="9"/>
  <c r="F1098" i="9"/>
  <c r="F1097" i="9"/>
  <c r="F1096" i="9"/>
  <c r="F1095" i="9"/>
  <c r="F1094" i="9"/>
  <c r="F1093" i="9"/>
  <c r="F1091" i="9"/>
  <c r="F1090" i="9"/>
  <c r="F1089" i="9"/>
  <c r="F1088" i="9"/>
  <c r="F1087" i="9"/>
  <c r="F1086" i="9"/>
  <c r="F1085" i="9"/>
  <c r="F1084" i="9"/>
  <c r="F1083" i="9"/>
  <c r="F1082" i="9"/>
  <c r="F1080" i="9"/>
  <c r="F1079" i="9"/>
  <c r="F1078" i="9"/>
  <c r="F1077" i="9"/>
  <c r="F1076" i="9"/>
  <c r="F1075" i="9"/>
  <c r="F1074" i="9"/>
  <c r="F1073" i="9"/>
  <c r="F1072" i="9"/>
  <c r="F1071" i="9"/>
  <c r="F1068" i="9"/>
  <c r="F1067" i="9"/>
  <c r="F1066" i="9"/>
  <c r="F1065" i="9"/>
  <c r="F1064" i="9"/>
  <c r="F1063" i="9"/>
  <c r="F1062" i="9"/>
  <c r="F1061" i="9"/>
  <c r="F1060" i="9"/>
  <c r="F1059" i="9"/>
  <c r="F1058" i="9"/>
  <c r="F1057" i="9"/>
  <c r="F1056" i="9"/>
  <c r="F1055" i="9"/>
  <c r="F1053" i="9"/>
  <c r="F1052" i="9"/>
  <c r="F1051" i="9"/>
  <c r="F1050" i="9"/>
  <c r="F1048" i="9"/>
  <c r="F1047" i="9"/>
  <c r="F1046" i="9"/>
  <c r="F1045" i="9"/>
  <c r="F1044" i="9"/>
  <c r="F1043" i="9"/>
  <c r="F1042" i="9"/>
  <c r="F1041" i="9"/>
  <c r="F1040" i="9"/>
  <c r="F1039" i="9"/>
  <c r="F1038" i="9"/>
  <c r="F1037" i="9"/>
  <c r="F1036" i="9"/>
  <c r="F1034" i="9"/>
  <c r="F1033" i="9"/>
  <c r="F1032" i="9"/>
  <c r="F1031" i="9"/>
  <c r="F1029" i="9"/>
  <c r="F1028" i="9"/>
  <c r="F1027" i="9"/>
  <c r="F1026" i="9"/>
  <c r="F1025" i="9"/>
  <c r="F1024" i="9"/>
  <c r="F1023" i="9"/>
  <c r="F1022" i="9"/>
  <c r="F1021" i="9"/>
  <c r="F1020" i="9"/>
  <c r="F1019" i="9"/>
  <c r="F1018" i="9"/>
  <c r="F1017" i="9"/>
  <c r="F1015" i="9"/>
  <c r="F1014" i="9"/>
  <c r="F1012" i="9"/>
  <c r="F1011" i="9"/>
  <c r="F1010" i="9"/>
  <c r="F1008" i="9"/>
  <c r="F1007" i="9"/>
  <c r="F1006" i="9"/>
  <c r="F1005" i="9"/>
  <c r="F1003" i="9"/>
  <c r="F1002" i="9"/>
  <c r="F1000" i="9"/>
  <c r="F999" i="9"/>
  <c r="F995" i="9"/>
  <c r="F994" i="9"/>
  <c r="F992" i="9"/>
  <c r="F991" i="9"/>
  <c r="F990" i="9"/>
  <c r="F989" i="9"/>
  <c r="F987" i="9"/>
  <c r="F986" i="9"/>
  <c r="F985" i="9"/>
  <c r="F984" i="9"/>
  <c r="F983" i="9"/>
  <c r="F982" i="9"/>
  <c r="F981" i="9"/>
  <c r="F980" i="9"/>
  <c r="F979" i="9"/>
  <c r="F978" i="9"/>
  <c r="F977" i="9"/>
  <c r="F975" i="9"/>
  <c r="F974" i="9"/>
  <c r="F973" i="9"/>
  <c r="F972" i="9"/>
  <c r="F971" i="9"/>
  <c r="F969" i="9"/>
  <c r="F968" i="9"/>
  <c r="F967" i="9"/>
  <c r="F966" i="9"/>
  <c r="F965" i="9"/>
  <c r="F964" i="9"/>
  <c r="F963" i="9"/>
  <c r="F962" i="9"/>
  <c r="F961" i="9"/>
  <c r="F960" i="9"/>
  <c r="F959" i="9"/>
  <c r="F958" i="9"/>
  <c r="F957" i="9"/>
  <c r="F956" i="9"/>
  <c r="F955" i="9"/>
  <c r="F954" i="9"/>
  <c r="F952" i="9"/>
  <c r="F951" i="9"/>
  <c r="F950" i="9"/>
  <c r="F949" i="9"/>
  <c r="F948" i="9"/>
  <c r="F947" i="9"/>
  <c r="F946" i="9"/>
  <c r="F945" i="9"/>
  <c r="F944" i="9"/>
  <c r="F943" i="9"/>
  <c r="F942" i="9"/>
  <c r="F941" i="9"/>
  <c r="F940" i="9"/>
  <c r="F939" i="9"/>
  <c r="F938" i="9"/>
  <c r="F937" i="9"/>
  <c r="F934" i="9"/>
  <c r="F933" i="9"/>
  <c r="F932" i="9"/>
  <c r="F931" i="9"/>
  <c r="F930" i="9"/>
  <c r="F927" i="9"/>
  <c r="F926" i="9"/>
  <c r="F925" i="9"/>
  <c r="F924" i="9"/>
  <c r="F923" i="9"/>
  <c r="F922" i="9"/>
  <c r="F921" i="9"/>
  <c r="F920" i="9"/>
  <c r="F919" i="9"/>
  <c r="F918" i="9"/>
  <c r="F917" i="9"/>
  <c r="F916" i="9"/>
  <c r="F915" i="9"/>
  <c r="F914" i="9"/>
  <c r="F913" i="9"/>
  <c r="F912" i="9"/>
  <c r="F911" i="9"/>
  <c r="F910" i="9"/>
  <c r="F909" i="9"/>
  <c r="F908" i="9"/>
  <c r="F907" i="9"/>
  <c r="F906" i="9"/>
  <c r="F896" i="9"/>
  <c r="F895" i="9"/>
  <c r="F894" i="9"/>
  <c r="F893" i="9"/>
  <c r="F892" i="9"/>
  <c r="F891" i="9"/>
  <c r="F890" i="9"/>
  <c r="F889" i="9"/>
  <c r="F888" i="9"/>
  <c r="F887" i="9"/>
  <c r="F886" i="9"/>
  <c r="F885" i="9"/>
  <c r="F884" i="9"/>
  <c r="F883" i="9"/>
  <c r="F882" i="9"/>
  <c r="F881" i="9"/>
  <c r="F880" i="9"/>
  <c r="F877" i="9"/>
  <c r="F876" i="9"/>
  <c r="F875" i="9"/>
  <c r="F874" i="9"/>
  <c r="F873" i="9"/>
  <c r="F872" i="9"/>
  <c r="F871" i="9"/>
  <c r="F869" i="9"/>
  <c r="F868" i="9"/>
  <c r="F867" i="9"/>
  <c r="F866" i="9"/>
  <c r="F864" i="9"/>
  <c r="F863" i="9"/>
  <c r="F862" i="9"/>
  <c r="F861" i="9"/>
  <c r="F860" i="9"/>
  <c r="F859" i="9"/>
  <c r="F858" i="9"/>
  <c r="F857" i="9"/>
  <c r="F856" i="9"/>
  <c r="F855" i="9"/>
  <c r="F854" i="9"/>
  <c r="F853" i="9"/>
  <c r="F852" i="9"/>
  <c r="F850" i="9"/>
  <c r="F849" i="9"/>
  <c r="F848" i="9"/>
  <c r="F847" i="9"/>
  <c r="F846" i="9"/>
  <c r="F845" i="9"/>
  <c r="F844" i="9"/>
  <c r="F843" i="9"/>
  <c r="F842" i="9"/>
  <c r="F841" i="9"/>
  <c r="F840" i="9"/>
  <c r="F839" i="9"/>
  <c r="F838" i="9"/>
  <c r="F837" i="9"/>
  <c r="F836" i="9"/>
  <c r="F835" i="9"/>
  <c r="F834" i="9"/>
  <c r="F833" i="9"/>
  <c r="F832" i="9"/>
  <c r="F831" i="9"/>
  <c r="F830" i="9"/>
  <c r="F829" i="9"/>
  <c r="F828" i="9"/>
  <c r="F826" i="9"/>
  <c r="F825" i="9"/>
  <c r="F824" i="9"/>
  <c r="F823" i="9"/>
  <c r="F822" i="9"/>
  <c r="F821" i="9"/>
  <c r="F820" i="9"/>
  <c r="F819" i="9"/>
  <c r="F818" i="9"/>
  <c r="F817" i="9"/>
  <c r="F816" i="9"/>
  <c r="F813" i="9"/>
  <c r="F812" i="9"/>
  <c r="F811" i="9"/>
  <c r="F810" i="9"/>
  <c r="F809" i="9"/>
  <c r="F808" i="9"/>
  <c r="F807" i="9"/>
  <c r="F806" i="9"/>
  <c r="F805" i="9"/>
  <c r="F804" i="9"/>
  <c r="F803" i="9"/>
  <c r="F802" i="9"/>
  <c r="F801" i="9"/>
  <c r="F800" i="9"/>
  <c r="F799" i="9"/>
  <c r="F798" i="9"/>
  <c r="F795" i="9"/>
  <c r="F794" i="9"/>
  <c r="F793" i="9"/>
  <c r="F792" i="9"/>
  <c r="F791" i="9"/>
  <c r="F790" i="9"/>
  <c r="F789" i="9"/>
  <c r="F788" i="9"/>
  <c r="F787" i="9"/>
  <c r="F786" i="9"/>
  <c r="F785" i="9"/>
  <c r="F784" i="9"/>
  <c r="F783" i="9"/>
  <c r="F782" i="9"/>
  <c r="F781" i="9"/>
  <c r="F780" i="9"/>
  <c r="F777" i="9"/>
  <c r="F776" i="9"/>
  <c r="F775" i="9"/>
  <c r="F774" i="9"/>
  <c r="F773" i="9"/>
  <c r="F772" i="9"/>
  <c r="F771" i="9"/>
  <c r="F770" i="9"/>
  <c r="F769" i="9"/>
  <c r="F768" i="9"/>
  <c r="F767" i="9"/>
  <c r="F764" i="9"/>
  <c r="F763" i="9"/>
  <c r="F762" i="9"/>
  <c r="F761" i="9"/>
  <c r="F760" i="9"/>
  <c r="F759" i="9"/>
  <c r="F758" i="9"/>
  <c r="F757" i="9"/>
  <c r="F756" i="9"/>
  <c r="F755" i="9"/>
  <c r="F754" i="9"/>
  <c r="F753" i="9"/>
  <c r="F752" i="9"/>
  <c r="F751" i="9"/>
  <c r="F749" i="9"/>
  <c r="F748" i="9"/>
  <c r="F747" i="9"/>
  <c r="F746" i="9"/>
  <c r="F745" i="9"/>
  <c r="F744" i="9"/>
  <c r="F743" i="9"/>
  <c r="F742" i="9"/>
  <c r="F741" i="9"/>
  <c r="F740" i="9"/>
  <c r="F739" i="9"/>
  <c r="F738" i="9"/>
  <c r="F737" i="9"/>
  <c r="F736" i="9"/>
  <c r="F735" i="9"/>
  <c r="F734" i="9"/>
  <c r="F731" i="9"/>
  <c r="F730" i="9"/>
  <c r="F729" i="9"/>
  <c r="F728" i="9"/>
  <c r="F727" i="9"/>
  <c r="F726" i="9"/>
  <c r="F725" i="9"/>
  <c r="F724" i="9"/>
  <c r="F723" i="9"/>
  <c r="F722" i="9"/>
  <c r="F721" i="9"/>
  <c r="F718" i="9"/>
  <c r="F717" i="9"/>
  <c r="F716" i="9"/>
  <c r="F715" i="9"/>
  <c r="F714" i="9"/>
  <c r="F713" i="9"/>
  <c r="F712" i="9"/>
  <c r="F711" i="9"/>
  <c r="F710" i="9"/>
  <c r="F709" i="9"/>
  <c r="F706" i="9"/>
  <c r="F705" i="9"/>
  <c r="F700" i="9"/>
  <c r="F699" i="9"/>
  <c r="F698" i="9"/>
  <c r="F697" i="9"/>
  <c r="F696" i="9"/>
  <c r="F695" i="9"/>
  <c r="F694" i="9"/>
  <c r="F693" i="9"/>
  <c r="F692" i="9"/>
  <c r="F689" i="9"/>
  <c r="F688" i="9"/>
  <c r="F687" i="9"/>
  <c r="F686" i="9"/>
  <c r="F685" i="9"/>
  <c r="F684" i="9"/>
  <c r="F683" i="9"/>
  <c r="F682" i="9"/>
  <c r="F681" i="9"/>
  <c r="F680" i="9"/>
  <c r="F679" i="9"/>
  <c r="F678" i="9"/>
  <c r="F674" i="9"/>
  <c r="F673" i="9"/>
  <c r="F672" i="9"/>
  <c r="F671" i="9"/>
  <c r="F670" i="9"/>
  <c r="F669" i="9"/>
  <c r="F668" i="9"/>
  <c r="F667" i="9"/>
  <c r="F666" i="9"/>
  <c r="F665" i="9"/>
  <c r="F664" i="9"/>
  <c r="F663" i="9"/>
  <c r="F662" i="9"/>
  <c r="F661" i="9"/>
  <c r="F660" i="9"/>
  <c r="F659" i="9"/>
  <c r="F658" i="9"/>
  <c r="F657" i="9"/>
  <c r="F652" i="9"/>
  <c r="F651" i="9"/>
  <c r="F650" i="9"/>
  <c r="F649" i="9"/>
  <c r="F648" i="9"/>
  <c r="F647" i="9"/>
  <c r="F646" i="9"/>
  <c r="F645" i="9"/>
  <c r="F644" i="9"/>
  <c r="F642" i="9"/>
  <c r="F641" i="9"/>
  <c r="F640" i="9"/>
  <c r="F639" i="9"/>
  <c r="F638" i="9"/>
  <c r="F637" i="9"/>
  <c r="F636" i="9"/>
  <c r="F633" i="9"/>
  <c r="F632" i="9"/>
  <c r="F631" i="9"/>
  <c r="F630" i="9"/>
  <c r="F629" i="9"/>
  <c r="F628" i="9"/>
  <c r="F627" i="9"/>
  <c r="F626" i="9"/>
  <c r="F625" i="9"/>
  <c r="F624" i="9"/>
  <c r="F623" i="9"/>
  <c r="F622" i="9"/>
  <c r="F618" i="9"/>
  <c r="F617" i="9"/>
  <c r="F616" i="9"/>
  <c r="F615" i="9"/>
  <c r="F614" i="9"/>
  <c r="F613" i="9"/>
  <c r="F612" i="9"/>
  <c r="F611" i="9"/>
  <c r="F610" i="9"/>
  <c r="F609" i="9"/>
  <c r="F608" i="9"/>
  <c r="F607" i="9"/>
  <c r="F606" i="9"/>
  <c r="F605" i="9"/>
  <c r="F604" i="9"/>
  <c r="F603" i="9"/>
  <c r="F602" i="9"/>
  <c r="F601" i="9"/>
  <c r="F599" i="9"/>
  <c r="F598" i="9"/>
  <c r="F596" i="9"/>
  <c r="F595" i="9"/>
  <c r="F592" i="9"/>
  <c r="F589" i="9"/>
  <c r="F588" i="9"/>
  <c r="F587" i="9"/>
  <c r="F586" i="9"/>
  <c r="F585" i="9"/>
  <c r="F583" i="9"/>
  <c r="F582" i="9"/>
  <c r="F581" i="9"/>
  <c r="F580" i="9"/>
  <c r="F579" i="9"/>
  <c r="F578" i="9"/>
  <c r="F577" i="9"/>
  <c r="F575" i="9"/>
  <c r="F574" i="9"/>
  <c r="F573" i="9"/>
  <c r="F572" i="9"/>
  <c r="F571" i="9"/>
  <c r="F570" i="9"/>
  <c r="F569" i="9"/>
  <c r="F568" i="9"/>
  <c r="F566" i="9"/>
  <c r="F565" i="9"/>
  <c r="F564" i="9"/>
  <c r="F563" i="9"/>
  <c r="F562" i="9"/>
  <c r="F561" i="9"/>
  <c r="F560" i="9"/>
  <c r="F559" i="9"/>
  <c r="F557" i="9"/>
  <c r="F556" i="9"/>
  <c r="F555" i="9"/>
  <c r="F553" i="9"/>
  <c r="F552" i="9"/>
  <c r="F548" i="9"/>
  <c r="F547" i="9"/>
  <c r="F546" i="9"/>
  <c r="F545" i="9"/>
  <c r="F544" i="9"/>
  <c r="F542" i="9"/>
  <c r="F541" i="9"/>
  <c r="F540" i="9"/>
  <c r="F539" i="9"/>
  <c r="F538" i="9"/>
  <c r="F537" i="9"/>
  <c r="F536" i="9"/>
  <c r="F534" i="9"/>
  <c r="F533" i="9"/>
  <c r="F532" i="9"/>
  <c r="F531" i="9"/>
  <c r="F530" i="9"/>
  <c r="F529" i="9"/>
  <c r="F528" i="9"/>
  <c r="F527" i="9"/>
  <c r="F526" i="9"/>
  <c r="F525" i="9"/>
  <c r="F524" i="9"/>
  <c r="F523" i="9"/>
  <c r="F522" i="9"/>
  <c r="F521" i="9"/>
  <c r="F520" i="9"/>
  <c r="F514" i="9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499" i="9"/>
  <c r="F498" i="9"/>
  <c r="F497" i="9"/>
  <c r="F496" i="9"/>
  <c r="F495" i="9"/>
  <c r="F494" i="9"/>
  <c r="F493" i="9"/>
  <c r="F492" i="9"/>
  <c r="F491" i="9"/>
  <c r="F490" i="9"/>
  <c r="F488" i="9"/>
  <c r="F487" i="9"/>
  <c r="F486" i="9"/>
  <c r="F485" i="9"/>
  <c r="F484" i="9"/>
  <c r="F483" i="9"/>
  <c r="F482" i="9"/>
  <c r="F480" i="9"/>
  <c r="F479" i="9"/>
  <c r="F478" i="9"/>
  <c r="F477" i="9"/>
  <c r="F476" i="9"/>
  <c r="F475" i="9"/>
  <c r="F474" i="9"/>
  <c r="F472" i="9"/>
  <c r="F471" i="9"/>
  <c r="F470" i="9"/>
  <c r="F469" i="9"/>
  <c r="F468" i="9"/>
  <c r="F467" i="9"/>
  <c r="F466" i="9"/>
  <c r="F465" i="9"/>
  <c r="F463" i="9"/>
  <c r="F462" i="9"/>
  <c r="F461" i="9"/>
  <c r="F460" i="9"/>
  <c r="F459" i="9"/>
  <c r="F458" i="9"/>
  <c r="F457" i="9"/>
  <c r="F456" i="9"/>
  <c r="F455" i="9"/>
  <c r="F453" i="9"/>
  <c r="F452" i="9"/>
  <c r="F451" i="9"/>
  <c r="F450" i="9"/>
  <c r="F449" i="9"/>
  <c r="F448" i="9"/>
  <c r="F447" i="9"/>
  <c r="F446" i="9"/>
  <c r="F444" i="9"/>
  <c r="F443" i="9"/>
  <c r="F442" i="9"/>
  <c r="F441" i="9"/>
  <c r="F440" i="9"/>
  <c r="F439" i="9"/>
  <c r="F438" i="9"/>
  <c r="F437" i="9"/>
  <c r="F435" i="9"/>
  <c r="F434" i="9"/>
  <c r="F433" i="9"/>
  <c r="F431" i="9"/>
  <c r="F430" i="9"/>
  <c r="F429" i="9"/>
  <c r="F428" i="9"/>
  <c r="F425" i="9"/>
  <c r="F424" i="9"/>
  <c r="F423" i="9"/>
  <c r="F422" i="9"/>
  <c r="F421" i="9"/>
  <c r="F420" i="9"/>
  <c r="F419" i="9"/>
  <c r="F418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59" i="9"/>
  <c r="F258" i="9"/>
  <c r="F256" i="9"/>
  <c r="F255" i="9"/>
  <c r="F254" i="9"/>
  <c r="F253" i="9"/>
  <c r="F252" i="9"/>
  <c r="F250" i="9"/>
  <c r="F249" i="9"/>
  <c r="F248" i="9"/>
  <c r="F247" i="9"/>
  <c r="F246" i="9"/>
  <c r="F245" i="9"/>
  <c r="F244" i="9"/>
  <c r="F242" i="9"/>
  <c r="F241" i="9"/>
  <c r="F240" i="9"/>
  <c r="F238" i="9"/>
  <c r="F237" i="9"/>
  <c r="F236" i="9"/>
  <c r="F235" i="9"/>
  <c r="F234" i="9"/>
  <c r="F232" i="9"/>
  <c r="F231" i="9"/>
  <c r="F230" i="9"/>
  <c r="F229" i="9"/>
  <c r="F228" i="9"/>
  <c r="F227" i="9"/>
  <c r="F226" i="9"/>
  <c r="F224" i="9"/>
  <c r="F223" i="9"/>
  <c r="F222" i="9"/>
  <c r="F221" i="9"/>
  <c r="F220" i="9"/>
  <c r="F219" i="9"/>
  <c r="F218" i="9"/>
  <c r="F217" i="9"/>
  <c r="F216" i="9"/>
  <c r="F215" i="9"/>
  <c r="F213" i="9"/>
  <c r="F212" i="9"/>
  <c r="F211" i="9"/>
  <c r="F209" i="9"/>
  <c r="F208" i="9"/>
  <c r="F206" i="9"/>
  <c r="F204" i="9"/>
  <c r="F203" i="9"/>
  <c r="F201" i="9"/>
  <c r="F200" i="9"/>
  <c r="F199" i="9"/>
  <c r="F197" i="9"/>
  <c r="F196" i="9"/>
  <c r="F195" i="9"/>
  <c r="F194" i="9"/>
  <c r="F193" i="9"/>
  <c r="F191" i="9"/>
  <c r="F190" i="9"/>
  <c r="F188" i="9"/>
  <c r="F187" i="9"/>
  <c r="F185" i="9"/>
  <c r="F184" i="9"/>
  <c r="F182" i="9"/>
  <c r="F181" i="9"/>
  <c r="F177" i="9"/>
  <c r="F176" i="9"/>
  <c r="F175" i="9"/>
  <c r="F174" i="9"/>
  <c r="F173" i="9"/>
  <c r="F172" i="9"/>
  <c r="F171" i="9"/>
  <c r="F170" i="9"/>
  <c r="F168" i="9"/>
  <c r="F167" i="9"/>
  <c r="F166" i="9"/>
  <c r="F165" i="9"/>
  <c r="F164" i="9"/>
  <c r="F163" i="9"/>
  <c r="F162" i="9"/>
  <c r="F161" i="9"/>
  <c r="F159" i="9"/>
  <c r="F158" i="9"/>
  <c r="F157" i="9"/>
  <c r="F155" i="9"/>
  <c r="F154" i="9"/>
  <c r="F153" i="9"/>
  <c r="F152" i="9"/>
  <c r="F151" i="9"/>
  <c r="F150" i="9"/>
  <c r="F149" i="9"/>
  <c r="F147" i="9"/>
  <c r="F146" i="9"/>
  <c r="F145" i="9"/>
  <c r="F144" i="9"/>
  <c r="F143" i="9"/>
  <c r="F140" i="9"/>
  <c r="F139" i="9"/>
  <c r="F138" i="9"/>
  <c r="F137" i="9"/>
  <c r="F136" i="9"/>
  <c r="F135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7" i="9"/>
  <c r="F96" i="9"/>
  <c r="F94" i="9"/>
  <c r="F93" i="9"/>
  <c r="F91" i="9"/>
  <c r="F90" i="9"/>
  <c r="F89" i="9"/>
  <c r="F87" i="9"/>
  <c r="F86" i="9"/>
  <c r="F84" i="9"/>
  <c r="F83" i="9"/>
  <c r="F82" i="9"/>
  <c r="F81" i="9"/>
  <c r="F80" i="9"/>
  <c r="F78" i="9"/>
  <c r="F77" i="9"/>
  <c r="F76" i="9"/>
  <c r="F75" i="9"/>
  <c r="F74" i="9"/>
  <c r="F73" i="9"/>
  <c r="F72" i="9"/>
  <c r="F70" i="9"/>
  <c r="F67" i="9"/>
  <c r="F66" i="9"/>
  <c r="F65" i="9"/>
  <c r="F64" i="9"/>
  <c r="F63" i="9"/>
  <c r="F60" i="9"/>
  <c r="F59" i="9"/>
  <c r="F58" i="9"/>
  <c r="F57" i="9"/>
  <c r="F56" i="9"/>
  <c r="F54" i="9"/>
  <c r="F53" i="9"/>
  <c r="F51" i="9"/>
  <c r="F50" i="9"/>
  <c r="F49" i="9"/>
  <c r="F48" i="9"/>
  <c r="F46" i="9"/>
  <c r="F45" i="9"/>
  <c r="F44" i="9"/>
  <c r="F43" i="9"/>
  <c r="F42" i="9"/>
  <c r="F40" i="9"/>
  <c r="F39" i="9"/>
  <c r="F38" i="9"/>
  <c r="F36" i="9"/>
  <c r="F34" i="9"/>
  <c r="F33" i="9"/>
  <c r="F31" i="9"/>
  <c r="F30" i="9"/>
  <c r="F29" i="9"/>
  <c r="F28" i="9"/>
  <c r="F27" i="9"/>
  <c r="F25" i="9"/>
  <c r="F24" i="9"/>
  <c r="F23" i="9"/>
  <c r="F21" i="9"/>
  <c r="F20" i="9"/>
  <c r="F18" i="9"/>
  <c r="F17" i="9"/>
  <c r="F16" i="9"/>
  <c r="F15" i="9"/>
  <c r="F14" i="9"/>
  <c r="F12" i="9"/>
  <c r="F11" i="9"/>
  <c r="F9" i="9"/>
  <c r="F8" i="9"/>
  <c r="G108" i="9" l="1"/>
  <c r="E1" i="1" l="1"/>
  <c r="E2" i="1" l="1"/>
  <c r="G560" i="1" l="1"/>
  <c r="G561" i="1" s="1"/>
  <c r="G79" i="1"/>
  <c r="G72" i="1"/>
  <c r="G510" i="1" l="1"/>
  <c r="H527" i="1" l="1"/>
  <c r="H528" i="1"/>
  <c r="H526" i="1"/>
  <c r="H525" i="1"/>
  <c r="H521" i="1"/>
  <c r="H515" i="1"/>
  <c r="H513" i="1"/>
  <c r="H511" i="1"/>
  <c r="H510" i="1"/>
  <c r="H508" i="1"/>
  <c r="H503" i="1"/>
  <c r="H502" i="1"/>
  <c r="H500" i="1"/>
  <c r="H499" i="1"/>
  <c r="H498" i="1"/>
  <c r="H494" i="1"/>
  <c r="H492" i="1"/>
  <c r="H491" i="1"/>
  <c r="H486" i="1"/>
  <c r="H484" i="1"/>
  <c r="H480" i="1"/>
  <c r="H477" i="1"/>
  <c r="H475" i="1"/>
  <c r="H474" i="1"/>
  <c r="H473" i="1"/>
  <c r="H472" i="1"/>
  <c r="H470" i="1"/>
  <c r="H467" i="1"/>
  <c r="H465" i="1"/>
  <c r="H461" i="1"/>
  <c r="H458" i="1"/>
  <c r="H456" i="1"/>
  <c r="H452" i="1"/>
  <c r="H449" i="1"/>
  <c r="H447" i="1"/>
  <c r="H446" i="1"/>
  <c r="H443" i="1"/>
  <c r="H442" i="1"/>
  <c r="H440" i="1"/>
  <c r="H438" i="1"/>
  <c r="H437" i="1"/>
  <c r="H430" i="1"/>
  <c r="H428" i="1"/>
  <c r="H422" i="1"/>
  <c r="H421" i="1"/>
  <c r="H412" i="1"/>
  <c r="H410" i="1"/>
  <c r="H400" i="1"/>
  <c r="H399" i="1"/>
  <c r="H391" i="1"/>
  <c r="H389" i="1"/>
  <c r="H388" i="1"/>
  <c r="H382" i="1"/>
  <c r="H381" i="1"/>
  <c r="H372" i="1"/>
  <c r="H370" i="1"/>
  <c r="H360" i="1"/>
  <c r="H359" i="1"/>
  <c r="H351" i="1"/>
  <c r="H349" i="1"/>
  <c r="H348" i="1"/>
  <c r="H342" i="1"/>
  <c r="H341" i="1"/>
  <c r="H332" i="1"/>
  <c r="H330" i="1"/>
  <c r="H320" i="1"/>
  <c r="H319" i="1"/>
  <c r="H316" i="1"/>
  <c r="H311" i="1"/>
  <c r="H309" i="1"/>
  <c r="H308" i="1"/>
  <c r="H302" i="1"/>
  <c r="H301" i="1"/>
  <c r="H292" i="1"/>
  <c r="H290" i="1"/>
  <c r="H284" i="1"/>
  <c r="H283" i="1"/>
  <c r="H274" i="1"/>
  <c r="G280" i="1"/>
  <c r="G298" i="1" s="1"/>
  <c r="G289" i="1"/>
  <c r="G307" i="1" s="1"/>
  <c r="G507" i="1"/>
  <c r="H507" i="1" s="1"/>
  <c r="G509" i="1"/>
  <c r="G288" i="1"/>
  <c r="G306" i="1" s="1"/>
  <c r="G435" i="1"/>
  <c r="H435" i="1" s="1"/>
  <c r="G279" i="1"/>
  <c r="G297" i="1" s="1"/>
  <c r="G286" i="1"/>
  <c r="G304" i="1" s="1"/>
  <c r="G276" i="1"/>
  <c r="G294" i="1" s="1"/>
  <c r="G324" i="1"/>
  <c r="G514" i="1"/>
  <c r="H514" i="1" s="1"/>
  <c r="G434" i="1"/>
  <c r="G275" i="1"/>
  <c r="G293" i="1" s="1"/>
  <c r="G333" i="1" s="1"/>
  <c r="G518" i="1"/>
  <c r="G620" i="1"/>
  <c r="G282" i="1"/>
  <c r="G300" i="1" s="1"/>
  <c r="G431" i="1"/>
  <c r="H431" i="1" s="1"/>
  <c r="G318" i="1" l="1"/>
  <c r="H300" i="1"/>
  <c r="G401" i="1"/>
  <c r="H518" i="1"/>
  <c r="G497" i="1"/>
  <c r="H497" i="1" s="1"/>
  <c r="H434" i="1"/>
  <c r="G364" i="1"/>
  <c r="H324" i="1"/>
  <c r="G323" i="1"/>
  <c r="H304" i="1"/>
  <c r="G517" i="1"/>
  <c r="H509" i="1"/>
  <c r="G329" i="1"/>
  <c r="H307" i="1"/>
  <c r="H275" i="1"/>
  <c r="H279" i="1"/>
  <c r="H289" i="1"/>
  <c r="H293" i="1"/>
  <c r="G356" i="1"/>
  <c r="H333" i="1"/>
  <c r="G312" i="1"/>
  <c r="H294" i="1"/>
  <c r="G315" i="1"/>
  <c r="H297" i="1"/>
  <c r="G328" i="1"/>
  <c r="H306" i="1"/>
  <c r="G338" i="1"/>
  <c r="H298" i="1"/>
  <c r="H276" i="1"/>
  <c r="H280" i="1"/>
  <c r="H282" i="1"/>
  <c r="H286" i="1"/>
  <c r="H288" i="1"/>
  <c r="H152" i="1"/>
  <c r="H142" i="1"/>
  <c r="H79" i="1"/>
  <c r="G910" i="1"/>
  <c r="H12" i="1"/>
  <c r="G1139" i="1"/>
  <c r="G925" i="1"/>
  <c r="G971" i="1" s="1"/>
  <c r="G753" i="1"/>
  <c r="G954" i="1" s="1"/>
  <c r="G1158" i="1"/>
  <c r="G1152" i="1"/>
  <c r="G1077" i="1"/>
  <c r="G1091" i="1" s="1"/>
  <c r="G853" i="1"/>
  <c r="G873" i="1" s="1"/>
  <c r="G913" i="1" s="1"/>
  <c r="G1080" i="1" s="1"/>
  <c r="G660" i="1"/>
  <c r="G643" i="1"/>
  <c r="G727" i="1" s="1"/>
  <c r="G758" i="1" s="1"/>
  <c r="G638" i="1"/>
  <c r="G694" i="1" s="1"/>
  <c r="G723" i="1" s="1"/>
  <c r="G736" i="1" s="1"/>
  <c r="G920" i="1" s="1"/>
  <c r="G943" i="1" s="1"/>
  <c r="G1108" i="1" s="1"/>
  <c r="G627" i="1"/>
  <c r="G523" i="1" s="1"/>
  <c r="H523" i="1" s="1"/>
  <c r="G614" i="1"/>
  <c r="G604" i="1"/>
  <c r="G545" i="1"/>
  <c r="G233" i="1"/>
  <c r="G231" i="1"/>
  <c r="G232" i="1" s="1"/>
  <c r="G866" i="1" s="1"/>
  <c r="G175" i="1"/>
  <c r="G378" i="1" l="1"/>
  <c r="H338" i="1"/>
  <c r="G346" i="1"/>
  <c r="H328" i="1"/>
  <c r="G337" i="1"/>
  <c r="H315" i="1"/>
  <c r="G334" i="1"/>
  <c r="H312" i="1"/>
  <c r="G373" i="1"/>
  <c r="H356" i="1"/>
  <c r="G347" i="1"/>
  <c r="H329" i="1"/>
  <c r="G520" i="1"/>
  <c r="H520" i="1" s="1"/>
  <c r="H517" i="1"/>
  <c r="G344" i="1"/>
  <c r="H323" i="1"/>
  <c r="G404" i="1"/>
  <c r="H404" i="1" s="1"/>
  <c r="H364" i="1"/>
  <c r="G361" i="1"/>
  <c r="H401" i="1"/>
  <c r="G340" i="1"/>
  <c r="H318" i="1"/>
  <c r="G1018" i="1"/>
  <c r="G1088" i="1" s="1"/>
  <c r="G867" i="1"/>
  <c r="G875" i="1"/>
  <c r="G906" i="1" s="1"/>
  <c r="G1147" i="1" s="1"/>
  <c r="G143" i="1"/>
  <c r="G141" i="1"/>
  <c r="G114" i="1"/>
  <c r="G86" i="1"/>
  <c r="G55" i="1"/>
  <c r="G358" i="1" l="1"/>
  <c r="H340" i="1"/>
  <c r="G321" i="1"/>
  <c r="H321" i="1" s="1"/>
  <c r="H361" i="1"/>
  <c r="G363" i="1"/>
  <c r="H344" i="1"/>
  <c r="G369" i="1"/>
  <c r="H347" i="1"/>
  <c r="G396" i="1"/>
  <c r="H373" i="1"/>
  <c r="G352" i="1"/>
  <c r="H334" i="1"/>
  <c r="G355" i="1"/>
  <c r="H337" i="1"/>
  <c r="G368" i="1"/>
  <c r="H346" i="1"/>
  <c r="G418" i="1"/>
  <c r="H378" i="1"/>
  <c r="G144" i="1"/>
  <c r="H144" i="1" s="1"/>
  <c r="H143" i="1"/>
  <c r="G505" i="1" l="1"/>
  <c r="H505" i="1" s="1"/>
  <c r="H418" i="1"/>
  <c r="G386" i="1"/>
  <c r="H368" i="1"/>
  <c r="G377" i="1"/>
  <c r="H355" i="1"/>
  <c r="G374" i="1"/>
  <c r="H352" i="1"/>
  <c r="G413" i="1"/>
  <c r="H413" i="1" s="1"/>
  <c r="H396" i="1"/>
  <c r="G387" i="1"/>
  <c r="H369" i="1"/>
  <c r="G384" i="1"/>
  <c r="H363" i="1"/>
  <c r="G380" i="1"/>
  <c r="H358" i="1"/>
  <c r="G398" i="1" l="1"/>
  <c r="H380" i="1"/>
  <c r="G403" i="1"/>
  <c r="H384" i="1"/>
  <c r="G409" i="1"/>
  <c r="H387" i="1"/>
  <c r="G392" i="1"/>
  <c r="H374" i="1"/>
  <c r="G395" i="1"/>
  <c r="H377" i="1"/>
  <c r="G408" i="1"/>
  <c r="H386" i="1"/>
  <c r="H1116" i="1"/>
  <c r="H1080" i="1"/>
  <c r="H946" i="1"/>
  <c r="H939" i="1"/>
  <c r="H914" i="1"/>
  <c r="H912" i="1"/>
  <c r="H913" i="1"/>
  <c r="H910" i="1"/>
  <c r="H909" i="1"/>
  <c r="H908" i="1"/>
  <c r="G807" i="1"/>
  <c r="H807" i="1" s="1"/>
  <c r="H789" i="1"/>
  <c r="H776" i="1"/>
  <c r="H743" i="1"/>
  <c r="H730" i="1"/>
  <c r="H718" i="1"/>
  <c r="G712" i="1"/>
  <c r="H712" i="1" s="1"/>
  <c r="H701" i="1"/>
  <c r="G686" i="1"/>
  <c r="G687" i="1" s="1"/>
  <c r="H687" i="1" s="1"/>
  <c r="H664" i="1"/>
  <c r="H645" i="1"/>
  <c r="H630" i="1"/>
  <c r="G631" i="1"/>
  <c r="H561" i="1"/>
  <c r="H560" i="1"/>
  <c r="H72" i="1"/>
  <c r="G115" i="1"/>
  <c r="G534" i="1" s="1"/>
  <c r="G27" i="1"/>
  <c r="G228" i="1" s="1"/>
  <c r="H228" i="1" s="1"/>
  <c r="H1158" i="1"/>
  <c r="H1152" i="1"/>
  <c r="H1147" i="1"/>
  <c r="H1139" i="1"/>
  <c r="H1128" i="1"/>
  <c r="H1127" i="1"/>
  <c r="H1126" i="1"/>
  <c r="H1124" i="1"/>
  <c r="H1123" i="1"/>
  <c r="H1121" i="1"/>
  <c r="H1115" i="1"/>
  <c r="H1113" i="1"/>
  <c r="H1112" i="1"/>
  <c r="H1110" i="1"/>
  <c r="H1108" i="1"/>
  <c r="H1091" i="1"/>
  <c r="H1088" i="1"/>
  <c r="H1077" i="1"/>
  <c r="H1073" i="1"/>
  <c r="H1069" i="1"/>
  <c r="H1018" i="1"/>
  <c r="H1008" i="1"/>
  <c r="H1007" i="1"/>
  <c r="H1006" i="1"/>
  <c r="H996" i="1"/>
  <c r="H986" i="1"/>
  <c r="H985" i="1"/>
  <c r="H971" i="1"/>
  <c r="H954" i="1"/>
  <c r="H945" i="1"/>
  <c r="H943" i="1"/>
  <c r="H938" i="1"/>
  <c r="H934" i="1"/>
  <c r="H932" i="1"/>
  <c r="H931" i="1"/>
  <c r="H929" i="1"/>
  <c r="H928" i="1"/>
  <c r="H926" i="1"/>
  <c r="H925" i="1"/>
  <c r="H920" i="1"/>
  <c r="H915" i="1"/>
  <c r="H907" i="1"/>
  <c r="H906" i="1"/>
  <c r="H905" i="1"/>
  <c r="H901" i="1"/>
  <c r="H893" i="1"/>
  <c r="H889" i="1"/>
  <c r="H886" i="1"/>
  <c r="H884" i="1"/>
  <c r="H875" i="1"/>
  <c r="H873" i="1"/>
  <c r="H872" i="1"/>
  <c r="H870" i="1"/>
  <c r="H869" i="1"/>
  <c r="H867" i="1"/>
  <c r="H866" i="1"/>
  <c r="H865" i="1"/>
  <c r="H861" i="1"/>
  <c r="H860" i="1"/>
  <c r="H859" i="1"/>
  <c r="H858" i="1"/>
  <c r="H856" i="1"/>
  <c r="H853" i="1"/>
  <c r="H851" i="1"/>
  <c r="H849" i="1"/>
  <c r="H842" i="1"/>
  <c r="H837" i="1"/>
  <c r="H829" i="1"/>
  <c r="H788" i="1"/>
  <c r="H785" i="1"/>
  <c r="H775" i="1"/>
  <c r="H772" i="1"/>
  <c r="H771" i="1"/>
  <c r="H770" i="1"/>
  <c r="H769" i="1"/>
  <c r="H768" i="1"/>
  <c r="H759" i="1"/>
  <c r="H758" i="1"/>
  <c r="H756" i="1"/>
  <c r="H755" i="1"/>
  <c r="H753" i="1"/>
  <c r="H752" i="1"/>
  <c r="H748" i="1"/>
  <c r="H736" i="1"/>
  <c r="H729" i="1"/>
  <c r="H727" i="1"/>
  <c r="H725" i="1"/>
  <c r="H723" i="1"/>
  <c r="H717" i="1"/>
  <c r="H714" i="1"/>
  <c r="H694" i="1"/>
  <c r="H692" i="1"/>
  <c r="H666" i="1"/>
  <c r="H663" i="1"/>
  <c r="H660" i="1"/>
  <c r="H659" i="1"/>
  <c r="H658" i="1"/>
  <c r="H657" i="1"/>
  <c r="H653" i="1"/>
  <c r="H652" i="1"/>
  <c r="H651" i="1"/>
  <c r="H644" i="1"/>
  <c r="H643" i="1"/>
  <c r="H642" i="1"/>
  <c r="H640" i="1"/>
  <c r="H639" i="1"/>
  <c r="H638" i="1"/>
  <c r="H636" i="1"/>
  <c r="H635" i="1"/>
  <c r="H627" i="1"/>
  <c r="H626" i="1"/>
  <c r="H625" i="1"/>
  <c r="H624" i="1"/>
  <c r="H623" i="1"/>
  <c r="H620" i="1"/>
  <c r="H618" i="1"/>
  <c r="H617" i="1"/>
  <c r="H614" i="1"/>
  <c r="H604" i="1"/>
  <c r="H545" i="1"/>
  <c r="H233" i="1"/>
  <c r="H232" i="1"/>
  <c r="H231" i="1"/>
  <c r="H230" i="1"/>
  <c r="H229" i="1"/>
  <c r="H190" i="1"/>
  <c r="H179" i="1"/>
  <c r="H178" i="1"/>
  <c r="H176" i="1"/>
  <c r="H175" i="1"/>
  <c r="H170" i="1"/>
  <c r="H169" i="1"/>
  <c r="H165" i="1"/>
  <c r="H163" i="1"/>
  <c r="H158" i="1"/>
  <c r="H157" i="1"/>
  <c r="H141" i="1"/>
  <c r="H140" i="1"/>
  <c r="H137" i="1"/>
  <c r="H136" i="1"/>
  <c r="H130" i="1"/>
  <c r="H126" i="1"/>
  <c r="H125" i="1"/>
  <c r="H123" i="1"/>
  <c r="H120" i="1"/>
  <c r="H119" i="1"/>
  <c r="H117" i="1"/>
  <c r="H116" i="1"/>
  <c r="H115" i="1"/>
  <c r="H114" i="1"/>
  <c r="H113" i="1"/>
  <c r="H112" i="1"/>
  <c r="H89" i="1"/>
  <c r="H88" i="1"/>
  <c r="H86" i="1"/>
  <c r="H71" i="1"/>
  <c r="H70" i="1"/>
  <c r="H69" i="1"/>
  <c r="H65" i="1"/>
  <c r="H62" i="1"/>
  <c r="H61" i="1"/>
  <c r="H55" i="1"/>
  <c r="H35" i="1"/>
  <c r="H32" i="1"/>
  <c r="H29" i="1"/>
  <c r="H28" i="1"/>
  <c r="H25" i="1"/>
  <c r="H20" i="1"/>
  <c r="H19" i="1"/>
  <c r="G923" i="1"/>
  <c r="H923" i="1" s="1"/>
  <c r="G166" i="1"/>
  <c r="G41" i="1"/>
  <c r="G94" i="1" s="1"/>
  <c r="G207" i="1" s="1"/>
  <c r="G760" i="1"/>
  <c r="G805" i="1"/>
  <c r="G36" i="1"/>
  <c r="G42" i="1" s="1"/>
  <c r="G51" i="1" s="1"/>
  <c r="G57" i="1" s="1"/>
  <c r="G95" i="1" s="1"/>
  <c r="G102" i="1" s="1"/>
  <c r="G208" i="1" s="1"/>
  <c r="G591" i="1"/>
  <c r="G550" i="1"/>
  <c r="H550" i="1" s="1"/>
  <c r="G994" i="1"/>
  <c r="G695" i="1"/>
  <c r="H695" i="1" s="1"/>
  <c r="G711" i="1"/>
  <c r="H711" i="1" s="1"/>
  <c r="G234" i="1"/>
  <c r="G185" i="1"/>
  <c r="G899" i="1"/>
  <c r="G134" i="1"/>
  <c r="G151" i="1" s="1"/>
  <c r="G799" i="1"/>
  <c r="G742" i="1"/>
  <c r="H742" i="1" s="1"/>
  <c r="G539" i="1"/>
  <c r="G681" i="1"/>
  <c r="H681" i="1" s="1"/>
  <c r="G696" i="1"/>
  <c r="H696" i="1" s="1"/>
  <c r="G682" i="1"/>
  <c r="G679" i="1"/>
  <c r="G680" i="1"/>
  <c r="G124" i="1"/>
  <c r="G138" i="1" s="1"/>
  <c r="G139" i="1" s="1"/>
  <c r="G834" i="1"/>
  <c r="H834" i="1" s="1"/>
  <c r="G708" i="1"/>
  <c r="H708" i="1" s="1"/>
  <c r="G707" i="1"/>
  <c r="H707" i="1" s="1"/>
  <c r="G673" i="1"/>
  <c r="G650" i="1"/>
  <c r="H650" i="1" s="1"/>
  <c r="G794" i="1"/>
  <c r="G993" i="1"/>
  <c r="G930" i="1"/>
  <c r="H930" i="1" s="1"/>
  <c r="G683" i="1"/>
  <c r="G600" i="1"/>
  <c r="H600" i="1" s="1"/>
  <c r="G902" i="1"/>
  <c r="H902" i="1" s="1"/>
  <c r="G698" i="1"/>
  <c r="G735" i="1"/>
  <c r="G132" i="1"/>
  <c r="G149" i="1" s="1"/>
  <c r="G131" i="1"/>
  <c r="G148" i="1" s="1"/>
  <c r="G76" i="1"/>
  <c r="H76" i="1" s="1"/>
  <c r="G567" i="1"/>
  <c r="G184" i="1"/>
  <c r="G445" i="1" s="1"/>
  <c r="G1163" i="1"/>
  <c r="G700" i="1"/>
  <c r="H700" i="1" s="1"/>
  <c r="G706" i="1"/>
  <c r="H706" i="1" s="1"/>
  <c r="G615" i="1"/>
  <c r="G786" i="1"/>
  <c r="H786" i="1" s="1"/>
  <c r="G1099" i="1"/>
  <c r="H1099" i="1" s="1"/>
  <c r="G992" i="1"/>
  <c r="G991" i="1"/>
  <c r="G1022" i="1"/>
  <c r="H1022" i="1" s="1"/>
  <c r="G241" i="1"/>
  <c r="G802" i="1"/>
  <c r="G801" i="1"/>
  <c r="G38" i="1"/>
  <c r="G47" i="1" s="1"/>
  <c r="G53" i="1" s="1"/>
  <c r="G59" i="1" s="1"/>
  <c r="G64" i="1" s="1"/>
  <c r="G67" i="1" s="1"/>
  <c r="G74" i="1" s="1"/>
  <c r="G81" i="1" s="1"/>
  <c r="G83" i="1" s="1"/>
  <c r="G91" i="1" s="1"/>
  <c r="G110" i="1" s="1"/>
  <c r="G128" i="1" s="1"/>
  <c r="G146" i="1" s="1"/>
  <c r="G154" i="1" s="1"/>
  <c r="G22" i="1"/>
  <c r="G26" i="1" s="1"/>
  <c r="G31" i="1" s="1"/>
  <c r="G34" i="1" s="1"/>
  <c r="G39" i="1" s="1"/>
  <c r="G44" i="1" s="1"/>
  <c r="G49" i="1" s="1"/>
  <c r="G54" i="1" s="1"/>
  <c r="G60" i="1" s="1"/>
  <c r="G68" i="1" s="1"/>
  <c r="G75" i="1" s="1"/>
  <c r="G84" i="1" s="1"/>
  <c r="G92" i="1" s="1"/>
  <c r="G97" i="1" s="1"/>
  <c r="G100" i="1" s="1"/>
  <c r="G104" i="1" s="1"/>
  <c r="G107" i="1" s="1"/>
  <c r="G111" i="1" s="1"/>
  <c r="G129" i="1" s="1"/>
  <c r="G147" i="1" s="1"/>
  <c r="G564" i="1"/>
  <c r="G804" i="1"/>
  <c r="G699" i="1"/>
  <c r="H699" i="1" s="1"/>
  <c r="G544" i="1"/>
  <c r="H544" i="1" s="1"/>
  <c r="G878" i="1"/>
  <c r="G543" i="1"/>
  <c r="H543" i="1" s="1"/>
  <c r="G1102" i="1"/>
  <c r="H1102" i="1" s="1"/>
  <c r="G593" i="1"/>
  <c r="H593" i="1" s="1"/>
  <c r="G705" i="1"/>
  <c r="H705" i="1" s="1"/>
  <c r="G122" i="1"/>
  <c r="G135" i="1" s="1"/>
  <c r="G78" i="1"/>
  <c r="G87" i="1" s="1"/>
  <c r="G121" i="1" s="1"/>
  <c r="G235" i="1" s="1"/>
  <c r="G841" i="1"/>
  <c r="G670" i="1"/>
  <c r="G750" i="1" s="1"/>
  <c r="H750" i="1" s="1"/>
  <c r="G568" i="1"/>
  <c r="G23" i="1"/>
  <c r="G105" i="1" s="1"/>
  <c r="G108" i="1" s="1"/>
  <c r="G193" i="1" s="1"/>
  <c r="G1040" i="1"/>
  <c r="G740" i="1"/>
  <c r="H740" i="1" s="1"/>
  <c r="G738" i="1"/>
  <c r="G187" i="1"/>
  <c r="G454" i="1" s="1"/>
  <c r="G880" i="1"/>
  <c r="G599" i="1"/>
  <c r="H599" i="1" s="1"/>
  <c r="G676" i="1"/>
  <c r="G674" i="1"/>
  <c r="G188" i="1"/>
  <c r="G455" i="1" s="1"/>
  <c r="G1002" i="1"/>
  <c r="G879" i="1"/>
  <c r="G900" i="1"/>
  <c r="H900" i="1" s="1"/>
  <c r="G783" i="1"/>
  <c r="H783" i="1" s="1"/>
  <c r="G533" i="1"/>
  <c r="G691" i="1"/>
  <c r="H691" i="1" s="1"/>
  <c r="G1070" i="1"/>
  <c r="G45" i="1"/>
  <c r="G98" i="1" s="1"/>
  <c r="G220" i="1" s="1"/>
  <c r="H220" i="1" s="1"/>
  <c r="G77" i="1"/>
  <c r="G85" i="1" s="1"/>
  <c r="G118" i="1" s="1"/>
  <c r="G133" i="1" s="1"/>
  <c r="G150" i="1" s="1"/>
  <c r="G50" i="1"/>
  <c r="G101" i="1" s="1"/>
  <c r="G223" i="1" s="1"/>
  <c r="H27" i="1" l="1"/>
  <c r="H631" i="1"/>
  <c r="G40" i="1"/>
  <c r="G56" i="1" s="1"/>
  <c r="G93" i="1" s="1"/>
  <c r="G199" i="1" s="1"/>
  <c r="G206" i="1" s="1"/>
  <c r="G463" i="1"/>
  <c r="H454" i="1"/>
  <c r="G451" i="1"/>
  <c r="H445" i="1"/>
  <c r="G464" i="1"/>
  <c r="H455" i="1"/>
  <c r="G426" i="1"/>
  <c r="H426" i="1" s="1"/>
  <c r="H408" i="1"/>
  <c r="G417" i="1"/>
  <c r="H417" i="1" s="1"/>
  <c r="H395" i="1"/>
  <c r="G414" i="1"/>
  <c r="H414" i="1" s="1"/>
  <c r="H392" i="1"/>
  <c r="G427" i="1"/>
  <c r="H427" i="1" s="1"/>
  <c r="H409" i="1"/>
  <c r="G424" i="1"/>
  <c r="H403" i="1"/>
  <c r="G420" i="1"/>
  <c r="H420" i="1" s="1"/>
  <c r="H398" i="1"/>
  <c r="H166" i="1"/>
  <c r="G436" i="1"/>
  <c r="H436" i="1" s="1"/>
  <c r="G541" i="1"/>
  <c r="G542" i="1" s="1"/>
  <c r="G287" i="1"/>
  <c r="G538" i="1"/>
  <c r="G285" i="1"/>
  <c r="G796" i="1"/>
  <c r="G814" i="1" s="1"/>
  <c r="H686" i="1"/>
  <c r="G825" i="1"/>
  <c r="H534" i="1"/>
  <c r="G557" i="1"/>
  <c r="G590" i="1" s="1"/>
  <c r="H23" i="1"/>
  <c r="H26" i="1"/>
  <c r="H31" i="1"/>
  <c r="H34" i="1"/>
  <c r="H39" i="1"/>
  <c r="H94" i="1"/>
  <c r="H134" i="1"/>
  <c r="H44" i="1"/>
  <c r="H100" i="1"/>
  <c r="H108" i="1"/>
  <c r="H41" i="1"/>
  <c r="H50" i="1"/>
  <c r="H60" i="1"/>
  <c r="H68" i="1"/>
  <c r="H92" i="1"/>
  <c r="H97" i="1"/>
  <c r="H105" i="1"/>
  <c r="H111" i="1"/>
  <c r="G156" i="1"/>
  <c r="H150" i="1"/>
  <c r="G1085" i="1"/>
  <c r="H1070" i="1"/>
  <c r="G780" i="1"/>
  <c r="H533" i="1"/>
  <c r="G1056" i="1"/>
  <c r="H1002" i="1"/>
  <c r="G1137" i="1"/>
  <c r="H1137" i="1" s="1"/>
  <c r="H674" i="1"/>
  <c r="G576" i="1"/>
  <c r="H187" i="1"/>
  <c r="H199" i="1"/>
  <c r="G888" i="1"/>
  <c r="H888" i="1" s="1"/>
  <c r="H568" i="1"/>
  <c r="G919" i="1"/>
  <c r="H919" i="1" s="1"/>
  <c r="H841" i="1"/>
  <c r="G551" i="1"/>
  <c r="H235" i="1"/>
  <c r="G990" i="1"/>
  <c r="H878" i="1"/>
  <c r="G722" i="1"/>
  <c r="H564" i="1"/>
  <c r="G160" i="1"/>
  <c r="H154" i="1"/>
  <c r="G820" i="1"/>
  <c r="H802" i="1"/>
  <c r="G1032" i="1"/>
  <c r="H992" i="1"/>
  <c r="G1168" i="1"/>
  <c r="H1163" i="1"/>
  <c r="G845" i="1"/>
  <c r="H567" i="1"/>
  <c r="G162" i="1"/>
  <c r="H148" i="1"/>
  <c r="G535" i="1"/>
  <c r="H149" i="1"/>
  <c r="G767" i="1"/>
  <c r="H698" i="1"/>
  <c r="G757" i="1"/>
  <c r="H683" i="1"/>
  <c r="G812" i="1"/>
  <c r="H794" i="1"/>
  <c r="G1136" i="1"/>
  <c r="H1136" i="1" s="1"/>
  <c r="H673" i="1"/>
  <c r="G874" i="1"/>
  <c r="H679" i="1"/>
  <c r="G1153" i="1"/>
  <c r="H1153" i="1" s="1"/>
  <c r="H539" i="1"/>
  <c r="G817" i="1"/>
  <c r="H799" i="1"/>
  <c r="G944" i="1"/>
  <c r="H944" i="1" s="1"/>
  <c r="H899" i="1"/>
  <c r="G242" i="1"/>
  <c r="H234" i="1"/>
  <c r="G224" i="1"/>
  <c r="H208" i="1"/>
  <c r="G806" i="1"/>
  <c r="H760" i="1"/>
  <c r="G239" i="1"/>
  <c r="H223" i="1"/>
  <c r="G1037" i="1"/>
  <c r="H879" i="1"/>
  <c r="G577" i="1"/>
  <c r="H188" i="1"/>
  <c r="G797" i="1"/>
  <c r="H676" i="1"/>
  <c r="G997" i="1"/>
  <c r="H880" i="1"/>
  <c r="G1141" i="1"/>
  <c r="H1141" i="1" s="1"/>
  <c r="H738" i="1"/>
  <c r="G1059" i="1"/>
  <c r="H1040" i="1"/>
  <c r="G196" i="1"/>
  <c r="H193" i="1"/>
  <c r="G1132" i="1"/>
  <c r="H1132" i="1" s="1"/>
  <c r="H670" i="1"/>
  <c r="H796" i="1"/>
  <c r="G552" i="1"/>
  <c r="H538" i="1"/>
  <c r="G822" i="1"/>
  <c r="H804" i="1"/>
  <c r="G155" i="1"/>
  <c r="H147" i="1"/>
  <c r="G819" i="1"/>
  <c r="H801" i="1"/>
  <c r="G249" i="1"/>
  <c r="H241" i="1"/>
  <c r="G1031" i="1"/>
  <c r="H991" i="1"/>
  <c r="G649" i="1"/>
  <c r="H615" i="1"/>
  <c r="G573" i="1"/>
  <c r="H184" i="1"/>
  <c r="G1135" i="1"/>
  <c r="H1135" i="1" s="1"/>
  <c r="H735" i="1"/>
  <c r="G1034" i="1"/>
  <c r="H993" i="1"/>
  <c r="G855" i="1"/>
  <c r="H680" i="1"/>
  <c r="G857" i="1"/>
  <c r="H682" i="1"/>
  <c r="G537" i="1"/>
  <c r="H537" i="1" s="1"/>
  <c r="H151" i="1"/>
  <c r="G574" i="1"/>
  <c r="H185" i="1"/>
  <c r="G1035" i="1"/>
  <c r="H994" i="1"/>
  <c r="G765" i="1"/>
  <c r="H591" i="1"/>
  <c r="G823" i="1"/>
  <c r="H805" i="1"/>
  <c r="G212" i="1"/>
  <c r="H207" i="1"/>
  <c r="H36" i="1"/>
  <c r="H47" i="1"/>
  <c r="H53" i="1"/>
  <c r="H57" i="1"/>
  <c r="H74" i="1"/>
  <c r="H78" i="1"/>
  <c r="H83" i="1"/>
  <c r="H85" i="1"/>
  <c r="H87" i="1"/>
  <c r="H102" i="1"/>
  <c r="H121" i="1"/>
  <c r="H128" i="1"/>
  <c r="H132" i="1"/>
  <c r="H138" i="1"/>
  <c r="H146" i="1"/>
  <c r="G540" i="1"/>
  <c r="H22" i="1"/>
  <c r="H38" i="1"/>
  <c r="H42" i="1"/>
  <c r="H45" i="1"/>
  <c r="H49" i="1"/>
  <c r="H51" i="1"/>
  <c r="H54" i="1"/>
  <c r="H59" i="1"/>
  <c r="H64" i="1"/>
  <c r="H67" i="1"/>
  <c r="H75" i="1"/>
  <c r="H77" i="1"/>
  <c r="H81" i="1"/>
  <c r="H84" i="1"/>
  <c r="H91" i="1"/>
  <c r="H95" i="1"/>
  <c r="H98" i="1"/>
  <c r="H101" i="1"/>
  <c r="H104" i="1"/>
  <c r="H107" i="1"/>
  <c r="H110" i="1"/>
  <c r="H118" i="1"/>
  <c r="H122" i="1"/>
  <c r="H124" i="1"/>
  <c r="H129" i="1"/>
  <c r="H131" i="1"/>
  <c r="H133" i="1"/>
  <c r="H135" i="1"/>
  <c r="H139" i="1"/>
  <c r="H93" i="1" l="1"/>
  <c r="H56" i="1"/>
  <c r="H557" i="1"/>
  <c r="H541" i="1"/>
  <c r="H40" i="1"/>
  <c r="G303" i="1"/>
  <c r="H285" i="1"/>
  <c r="G305" i="1"/>
  <c r="H287" i="1"/>
  <c r="G854" i="1"/>
  <c r="H424" i="1"/>
  <c r="G483" i="1"/>
  <c r="H483" i="1" s="1"/>
  <c r="H464" i="1"/>
  <c r="G460" i="1"/>
  <c r="H451" i="1"/>
  <c r="G482" i="1"/>
  <c r="H463" i="1"/>
  <c r="G911" i="1"/>
  <c r="H911" i="1" s="1"/>
  <c r="H825" i="1"/>
  <c r="G253" i="1"/>
  <c r="H253" i="1" s="1"/>
  <c r="H212" i="1"/>
  <c r="G836" i="1"/>
  <c r="H823" i="1"/>
  <c r="G831" i="1"/>
  <c r="H765" i="1"/>
  <c r="G1054" i="1"/>
  <c r="H1054" i="1" s="1"/>
  <c r="H1035" i="1"/>
  <c r="G583" i="1"/>
  <c r="H583" i="1" s="1"/>
  <c r="H574" i="1"/>
  <c r="G936" i="1"/>
  <c r="H857" i="1"/>
  <c r="G933" i="1"/>
  <c r="H855" i="1"/>
  <c r="G1053" i="1"/>
  <c r="H1034" i="1"/>
  <c r="G616" i="1"/>
  <c r="H590" i="1"/>
  <c r="G582" i="1"/>
  <c r="H582" i="1" s="1"/>
  <c r="H573" i="1"/>
  <c r="G671" i="1"/>
  <c r="H649" i="1"/>
  <c r="G1050" i="1"/>
  <c r="H1031" i="1"/>
  <c r="G259" i="1"/>
  <c r="H249" i="1"/>
  <c r="G958" i="1"/>
  <c r="H819" i="1"/>
  <c r="G161" i="1"/>
  <c r="H155" i="1"/>
  <c r="G961" i="1"/>
  <c r="H822" i="1"/>
  <c r="G622" i="1"/>
  <c r="H552" i="1"/>
  <c r="G953" i="1"/>
  <c r="H814" i="1"/>
  <c r="G202" i="1"/>
  <c r="H196" i="1"/>
  <c r="G1079" i="1"/>
  <c r="H1079" i="1" s="1"/>
  <c r="H1059" i="1"/>
  <c r="G1003" i="1"/>
  <c r="H997" i="1"/>
  <c r="G815" i="1"/>
  <c r="H797" i="1"/>
  <c r="G586" i="1"/>
  <c r="H577" i="1"/>
  <c r="G1044" i="1"/>
  <c r="H1044" i="1" s="1"/>
  <c r="H1037" i="1"/>
  <c r="G247" i="1"/>
  <c r="H239" i="1"/>
  <c r="G824" i="1"/>
  <c r="H806" i="1"/>
  <c r="G243" i="1"/>
  <c r="H224" i="1"/>
  <c r="G260" i="1"/>
  <c r="H242" i="1"/>
  <c r="G956" i="1"/>
  <c r="H817" i="1"/>
  <c r="G998" i="1"/>
  <c r="H874" i="1"/>
  <c r="G553" i="1"/>
  <c r="H542" i="1"/>
  <c r="G830" i="1"/>
  <c r="H812" i="1"/>
  <c r="G803" i="1"/>
  <c r="H757" i="1"/>
  <c r="G833" i="1"/>
  <c r="H767" i="1"/>
  <c r="G637" i="1"/>
  <c r="H535" i="1"/>
  <c r="G174" i="1"/>
  <c r="H162" i="1"/>
  <c r="G897" i="1"/>
  <c r="H845" i="1"/>
  <c r="G1172" i="1"/>
  <c r="H1168" i="1"/>
  <c r="G1051" i="1"/>
  <c r="H1032" i="1"/>
  <c r="G959" i="1"/>
  <c r="H820" i="1"/>
  <c r="G168" i="1"/>
  <c r="H160" i="1"/>
  <c r="G734" i="1"/>
  <c r="H722" i="1"/>
  <c r="G1001" i="1"/>
  <c r="H990" i="1"/>
  <c r="G559" i="1"/>
  <c r="H551" i="1"/>
  <c r="G240" i="1"/>
  <c r="H206" i="1"/>
  <c r="G585" i="1"/>
  <c r="H576" i="1"/>
  <c r="G1063" i="1"/>
  <c r="H1063" i="1" s="1"/>
  <c r="H1056" i="1"/>
  <c r="G1106" i="1"/>
  <c r="H1106" i="1" s="1"/>
  <c r="H780" i="1"/>
  <c r="G1096" i="1"/>
  <c r="H1096" i="1" s="1"/>
  <c r="H1085" i="1"/>
  <c r="G164" i="1"/>
  <c r="H156" i="1"/>
  <c r="G594" i="1"/>
  <c r="H540" i="1"/>
  <c r="G490" i="1" l="1"/>
  <c r="H490" i="1" s="1"/>
  <c r="H482" i="1"/>
  <c r="G469" i="1"/>
  <c r="H460" i="1"/>
  <c r="H854" i="1"/>
  <c r="G904" i="1"/>
  <c r="H904" i="1" s="1"/>
  <c r="G326" i="1"/>
  <c r="H305" i="1"/>
  <c r="G322" i="1"/>
  <c r="H303" i="1"/>
  <c r="H833" i="1"/>
  <c r="G887" i="1"/>
  <c r="G773" i="1"/>
  <c r="H594" i="1"/>
  <c r="G177" i="1"/>
  <c r="H164" i="1"/>
  <c r="G850" i="1"/>
  <c r="H585" i="1"/>
  <c r="G248" i="1"/>
  <c r="H240" i="1"/>
  <c r="G621" i="1"/>
  <c r="H559" i="1"/>
  <c r="G1030" i="1"/>
  <c r="H1001" i="1"/>
  <c r="G1133" i="1"/>
  <c r="H1133" i="1" s="1"/>
  <c r="H734" i="1"/>
  <c r="G172" i="1"/>
  <c r="H168" i="1"/>
  <c r="G976" i="1"/>
  <c r="H976" i="1" s="1"/>
  <c r="H959" i="1"/>
  <c r="G1072" i="1"/>
  <c r="H1051" i="1"/>
  <c r="G1175" i="1"/>
  <c r="H1175" i="1" s="1"/>
  <c r="H1172" i="1"/>
  <c r="G921" i="1"/>
  <c r="H921" i="1" s="1"/>
  <c r="H897" i="1"/>
  <c r="G183" i="1"/>
  <c r="G277" i="1" s="1"/>
  <c r="H174" i="1"/>
  <c r="G693" i="1"/>
  <c r="H637" i="1"/>
  <c r="G821" i="1"/>
  <c r="H803" i="1"/>
  <c r="G951" i="1"/>
  <c r="H830" i="1"/>
  <c r="G628" i="1"/>
  <c r="H553" i="1"/>
  <c r="G1039" i="1"/>
  <c r="H998" i="1"/>
  <c r="G973" i="1"/>
  <c r="H973" i="1" s="1"/>
  <c r="H956" i="1"/>
  <c r="G1019" i="1"/>
  <c r="H260" i="1"/>
  <c r="G261" i="1"/>
  <c r="H261" i="1" s="1"/>
  <c r="H243" i="1"/>
  <c r="G963" i="1"/>
  <c r="H824" i="1"/>
  <c r="G257" i="1"/>
  <c r="H247" i="1"/>
  <c r="G852" i="1"/>
  <c r="H586" i="1"/>
  <c r="G847" i="1"/>
  <c r="H847" i="1" s="1"/>
  <c r="H815" i="1"/>
  <c r="G1038" i="1"/>
  <c r="H1003" i="1"/>
  <c r="G215" i="1"/>
  <c r="H202" i="1"/>
  <c r="G970" i="1"/>
  <c r="H970" i="1" s="1"/>
  <c r="H953" i="1"/>
  <c r="G641" i="1"/>
  <c r="H622" i="1"/>
  <c r="G978" i="1"/>
  <c r="H978" i="1" s="1"/>
  <c r="H961" i="1"/>
  <c r="G173" i="1"/>
  <c r="H161" i="1"/>
  <c r="G975" i="1"/>
  <c r="H975" i="1" s="1"/>
  <c r="H958" i="1"/>
  <c r="G267" i="1"/>
  <c r="H267" i="1" s="1"/>
  <c r="H259" i="1"/>
  <c r="G1071" i="1"/>
  <c r="H1050" i="1"/>
  <c r="G894" i="1"/>
  <c r="H671" i="1"/>
  <c r="G672" i="1"/>
  <c r="H616" i="1"/>
  <c r="G1074" i="1"/>
  <c r="H1053" i="1"/>
  <c r="G1144" i="1"/>
  <c r="H1144" i="1" s="1"/>
  <c r="H933" i="1"/>
  <c r="G1145" i="1"/>
  <c r="H1145" i="1" s="1"/>
  <c r="H936" i="1"/>
  <c r="G922" i="1"/>
  <c r="H922" i="1" s="1"/>
  <c r="H831" i="1"/>
  <c r="G962" i="1"/>
  <c r="H836" i="1"/>
  <c r="G278" i="1" l="1"/>
  <c r="H277" i="1"/>
  <c r="G343" i="1"/>
  <c r="H322" i="1"/>
  <c r="G327" i="1"/>
  <c r="H326" i="1"/>
  <c r="G479" i="1"/>
  <c r="H469" i="1"/>
  <c r="G1111" i="1"/>
  <c r="H887" i="1"/>
  <c r="G979" i="1"/>
  <c r="H979" i="1" s="1"/>
  <c r="H962" i="1"/>
  <c r="G1089" i="1"/>
  <c r="H1074" i="1"/>
  <c r="G747" i="1"/>
  <c r="H672" i="1"/>
  <c r="G984" i="1"/>
  <c r="H984" i="1" s="1"/>
  <c r="H894" i="1"/>
  <c r="G1086" i="1"/>
  <c r="H1071" i="1"/>
  <c r="G182" i="1"/>
  <c r="H173" i="1"/>
  <c r="G678" i="1"/>
  <c r="H641" i="1"/>
  <c r="G270" i="1"/>
  <c r="H215" i="1"/>
  <c r="G1045" i="1"/>
  <c r="H1038" i="1"/>
  <c r="G903" i="1"/>
  <c r="H903" i="1" s="1"/>
  <c r="H852" i="1"/>
  <c r="G265" i="1"/>
  <c r="H257" i="1"/>
  <c r="G980" i="1"/>
  <c r="H980" i="1" s="1"/>
  <c r="H963" i="1"/>
  <c r="G1023" i="1"/>
  <c r="H1019" i="1"/>
  <c r="G1058" i="1"/>
  <c r="H1039" i="1"/>
  <c r="G629" i="1"/>
  <c r="H628" i="1"/>
  <c r="G968" i="1"/>
  <c r="H968" i="1" s="1"/>
  <c r="H951" i="1"/>
  <c r="G960" i="1"/>
  <c r="H821" i="1"/>
  <c r="G781" i="1"/>
  <c r="H693" i="1"/>
  <c r="G572" i="1"/>
  <c r="H183" i="1"/>
  <c r="G1087" i="1"/>
  <c r="H1072" i="1"/>
  <c r="G181" i="1"/>
  <c r="H172" i="1"/>
  <c r="G1043" i="1"/>
  <c r="H1030" i="1"/>
  <c r="G662" i="1"/>
  <c r="H621" i="1"/>
  <c r="G258" i="1"/>
  <c r="H248" i="1"/>
  <c r="G927" i="1"/>
  <c r="H927" i="1" s="1"/>
  <c r="H850" i="1"/>
  <c r="G186" i="1"/>
  <c r="G281" i="1" s="1"/>
  <c r="H177" i="1"/>
  <c r="G787" i="1"/>
  <c r="H773" i="1"/>
  <c r="G299" i="1" l="1"/>
  <c r="H281" i="1"/>
  <c r="G488" i="1"/>
  <c r="H488" i="1" s="1"/>
  <c r="H479" i="1"/>
  <c r="G345" i="1"/>
  <c r="H327" i="1"/>
  <c r="G362" i="1"/>
  <c r="H343" i="1"/>
  <c r="G295" i="1"/>
  <c r="H278" i="1"/>
  <c r="H1111" i="1"/>
  <c r="G1125" i="1"/>
  <c r="H1125" i="1" s="1"/>
  <c r="G835" i="1"/>
  <c r="H787" i="1"/>
  <c r="G536" i="1"/>
  <c r="H186" i="1"/>
  <c r="G266" i="1"/>
  <c r="H258" i="1"/>
  <c r="G677" i="1"/>
  <c r="H662" i="1"/>
  <c r="G1049" i="1"/>
  <c r="H1043" i="1"/>
  <c r="G204" i="1"/>
  <c r="H181" i="1"/>
  <c r="G1098" i="1"/>
  <c r="H1098" i="1" s="1"/>
  <c r="H1087" i="1"/>
  <c r="G581" i="1"/>
  <c r="H581" i="1" s="1"/>
  <c r="H572" i="1"/>
  <c r="G844" i="1"/>
  <c r="H781" i="1"/>
  <c r="G977" i="1"/>
  <c r="H960" i="1"/>
  <c r="G684" i="1"/>
  <c r="H629" i="1"/>
  <c r="G1078" i="1"/>
  <c r="H1058" i="1"/>
  <c r="G1159" i="1"/>
  <c r="H1023" i="1"/>
  <c r="G1068" i="1"/>
  <c r="H265" i="1"/>
  <c r="G1057" i="1"/>
  <c r="H1045" i="1"/>
  <c r="G607" i="1"/>
  <c r="H270" i="1"/>
  <c r="G697" i="1"/>
  <c r="H678" i="1"/>
  <c r="G192" i="1"/>
  <c r="H182" i="1"/>
  <c r="G1097" i="1"/>
  <c r="H1097" i="1" s="1"/>
  <c r="H1086" i="1"/>
  <c r="G764" i="1"/>
  <c r="H747" i="1"/>
  <c r="G1100" i="1"/>
  <c r="H1100" i="1" s="1"/>
  <c r="H1089" i="1"/>
  <c r="G296" i="1" l="1"/>
  <c r="H295" i="1"/>
  <c r="G383" i="1"/>
  <c r="H362" i="1"/>
  <c r="G366" i="1"/>
  <c r="H345" i="1"/>
  <c r="G317" i="1"/>
  <c r="H299" i="1"/>
  <c r="G793" i="1"/>
  <c r="H764" i="1"/>
  <c r="G195" i="1"/>
  <c r="H192" i="1"/>
  <c r="G726" i="1"/>
  <c r="H697" i="1"/>
  <c r="G610" i="1"/>
  <c r="H607" i="1"/>
  <c r="G1064" i="1"/>
  <c r="H1064" i="1" s="1"/>
  <c r="H1057" i="1"/>
  <c r="G1084" i="1"/>
  <c r="H1068" i="1"/>
  <c r="G1164" i="1"/>
  <c r="H1159" i="1"/>
  <c r="G1143" i="1"/>
  <c r="H1143" i="1" s="1"/>
  <c r="H1078" i="1"/>
  <c r="G685" i="1"/>
  <c r="H684" i="1"/>
  <c r="G1146" i="1"/>
  <c r="H1146" i="1" s="1"/>
  <c r="H977" i="1"/>
  <c r="G896" i="1"/>
  <c r="H896" i="1" s="1"/>
  <c r="H844" i="1"/>
  <c r="G210" i="1"/>
  <c r="H204" i="1"/>
  <c r="G1062" i="1"/>
  <c r="H1062" i="1" s="1"/>
  <c r="H1049" i="1"/>
  <c r="G710" i="1"/>
  <c r="H677" i="1"/>
  <c r="G1017" i="1"/>
  <c r="H266" i="1"/>
  <c r="G549" i="1"/>
  <c r="H536" i="1"/>
  <c r="G935" i="1"/>
  <c r="H835" i="1"/>
  <c r="G339" i="1" l="1"/>
  <c r="H317" i="1"/>
  <c r="G367" i="1"/>
  <c r="H366" i="1"/>
  <c r="G402" i="1"/>
  <c r="H383" i="1"/>
  <c r="G313" i="1"/>
  <c r="H296" i="1"/>
  <c r="G1114" i="1"/>
  <c r="H1114" i="1" s="1"/>
  <c r="H935" i="1"/>
  <c r="G558" i="1"/>
  <c r="H549" i="1"/>
  <c r="G1178" i="1"/>
  <c r="H1178" i="1" s="1"/>
  <c r="H1017" i="1"/>
  <c r="G751" i="1"/>
  <c r="H710" i="1"/>
  <c r="G217" i="1"/>
  <c r="H210" i="1"/>
  <c r="G728" i="1"/>
  <c r="H685" i="1"/>
  <c r="G1169" i="1"/>
  <c r="H1169" i="1" s="1"/>
  <c r="H1164" i="1"/>
  <c r="G1095" i="1"/>
  <c r="H1095" i="1" s="1"/>
  <c r="H1084" i="1"/>
  <c r="G1011" i="1"/>
  <c r="H610" i="1"/>
  <c r="G739" i="1"/>
  <c r="H726" i="1"/>
  <c r="G198" i="1"/>
  <c r="H195" i="1"/>
  <c r="G811" i="1"/>
  <c r="H793" i="1"/>
  <c r="G314" i="1" l="1"/>
  <c r="H313" i="1"/>
  <c r="G423" i="1"/>
  <c r="H402" i="1"/>
  <c r="G385" i="1"/>
  <c r="H367" i="1"/>
  <c r="G357" i="1"/>
  <c r="H339" i="1"/>
  <c r="G843" i="1"/>
  <c r="H811" i="1"/>
  <c r="G201" i="1"/>
  <c r="H198" i="1"/>
  <c r="G754" i="1"/>
  <c r="H739" i="1"/>
  <c r="G1014" i="1"/>
  <c r="H1011" i="1"/>
  <c r="G741" i="1"/>
  <c r="H728" i="1"/>
  <c r="G226" i="1"/>
  <c r="H217" i="1"/>
  <c r="G784" i="1"/>
  <c r="H751" i="1"/>
  <c r="G575" i="1"/>
  <c r="H558" i="1"/>
  <c r="G379" i="1" l="1"/>
  <c r="H357" i="1"/>
  <c r="G406" i="1"/>
  <c r="H385" i="1"/>
  <c r="G519" i="1"/>
  <c r="H519" i="1" s="1"/>
  <c r="H423" i="1"/>
  <c r="G335" i="1"/>
  <c r="H314" i="1"/>
  <c r="G584" i="1"/>
  <c r="H575" i="1"/>
  <c r="G798" i="1"/>
  <c r="H784" i="1"/>
  <c r="G237" i="1"/>
  <c r="H226" i="1"/>
  <c r="G774" i="1"/>
  <c r="H741" i="1"/>
  <c r="G1026" i="1"/>
  <c r="H1026" i="1" s="1"/>
  <c r="H1014" i="1"/>
  <c r="G800" i="1"/>
  <c r="H754" i="1"/>
  <c r="G205" i="1"/>
  <c r="H201" i="1"/>
  <c r="G868" i="1"/>
  <c r="H843" i="1"/>
  <c r="G336" i="1" l="1"/>
  <c r="H335" i="1"/>
  <c r="G407" i="1"/>
  <c r="H406" i="1"/>
  <c r="G397" i="1"/>
  <c r="H379" i="1"/>
  <c r="G895" i="1"/>
  <c r="H868" i="1"/>
  <c r="G211" i="1"/>
  <c r="H205" i="1"/>
  <c r="G818" i="1"/>
  <c r="H800" i="1"/>
  <c r="G937" i="1"/>
  <c r="H774" i="1"/>
  <c r="G245" i="1"/>
  <c r="H237" i="1"/>
  <c r="G816" i="1"/>
  <c r="H798" i="1"/>
  <c r="G592" i="1"/>
  <c r="H584" i="1"/>
  <c r="G419" i="1" l="1"/>
  <c r="H397" i="1"/>
  <c r="G425" i="1"/>
  <c r="H407" i="1"/>
  <c r="G353" i="1"/>
  <c r="H336" i="1"/>
  <c r="G598" i="1"/>
  <c r="H592" i="1"/>
  <c r="G848" i="1"/>
  <c r="H816" i="1"/>
  <c r="G251" i="1"/>
  <c r="H245" i="1"/>
  <c r="G1148" i="1"/>
  <c r="H937" i="1"/>
  <c r="G957" i="1"/>
  <c r="H818" i="1"/>
  <c r="G214" i="1"/>
  <c r="H211" i="1"/>
  <c r="G950" i="1"/>
  <c r="H895" i="1"/>
  <c r="G354" i="1" l="1"/>
  <c r="H353" i="1"/>
  <c r="G524" i="1"/>
  <c r="H524" i="1" s="1"/>
  <c r="H425" i="1"/>
  <c r="G433" i="1"/>
  <c r="H419" i="1"/>
  <c r="G967" i="1"/>
  <c r="H950" i="1"/>
  <c r="G219" i="1"/>
  <c r="H214" i="1"/>
  <c r="G974" i="1"/>
  <c r="H957" i="1"/>
  <c r="G1149" i="1"/>
  <c r="H1149" i="1" s="1"/>
  <c r="H1148" i="1"/>
  <c r="G255" i="1"/>
  <c r="H251" i="1"/>
  <c r="H1" i="1" s="1"/>
  <c r="I1" i="1" s="1"/>
  <c r="G955" i="1"/>
  <c r="H848" i="1"/>
  <c r="G619" i="1"/>
  <c r="H598" i="1"/>
  <c r="G453" i="1" l="1"/>
  <c r="H433" i="1"/>
  <c r="G375" i="1"/>
  <c r="H354" i="1"/>
  <c r="G661" i="1"/>
  <c r="H619" i="1"/>
  <c r="G972" i="1"/>
  <c r="H955" i="1"/>
  <c r="G263" i="1"/>
  <c r="G273" i="1" s="1"/>
  <c r="H255" i="1"/>
  <c r="G1142" i="1"/>
  <c r="H1142" i="1" s="1"/>
  <c r="H974" i="1"/>
  <c r="G222" i="1"/>
  <c r="H219" i="1"/>
  <c r="G1033" i="1"/>
  <c r="H967" i="1"/>
  <c r="G291" i="1" l="1"/>
  <c r="H273" i="1"/>
  <c r="G376" i="1"/>
  <c r="H375" i="1"/>
  <c r="G462" i="1"/>
  <c r="H453" i="1"/>
  <c r="G1052" i="1"/>
  <c r="H1033" i="1"/>
  <c r="G227" i="1"/>
  <c r="H222" i="1"/>
  <c r="G531" i="1"/>
  <c r="H263" i="1"/>
  <c r="G1076" i="1"/>
  <c r="H972" i="1"/>
  <c r="G675" i="1"/>
  <c r="H661" i="1"/>
  <c r="G471" i="1" l="1"/>
  <c r="H462" i="1"/>
  <c r="G393" i="1"/>
  <c r="H376" i="1"/>
  <c r="G310" i="1"/>
  <c r="H291" i="1"/>
  <c r="G709" i="1"/>
  <c r="H675" i="1"/>
  <c r="G1090" i="1"/>
  <c r="H1076" i="1"/>
  <c r="G547" i="1"/>
  <c r="H531" i="1"/>
  <c r="G238" i="1"/>
  <c r="H227" i="1"/>
  <c r="G1107" i="1"/>
  <c r="H1052" i="1"/>
  <c r="G331" i="1" l="1"/>
  <c r="H310" i="1"/>
  <c r="G394" i="1"/>
  <c r="H393" i="1"/>
  <c r="G481" i="1"/>
  <c r="H471" i="1"/>
  <c r="G1120" i="1"/>
  <c r="H1107" i="1"/>
  <c r="G246" i="1"/>
  <c r="H238" i="1"/>
  <c r="G555" i="1"/>
  <c r="H547" i="1"/>
  <c r="G1101" i="1"/>
  <c r="H1090" i="1"/>
  <c r="G724" i="1"/>
  <c r="H709" i="1"/>
  <c r="G489" i="1" l="1"/>
  <c r="H481" i="1"/>
  <c r="G415" i="1"/>
  <c r="H394" i="1"/>
  <c r="G350" i="1"/>
  <c r="H331" i="1"/>
  <c r="G737" i="1"/>
  <c r="H724" i="1"/>
  <c r="G1140" i="1"/>
  <c r="H1140" i="1" s="1"/>
  <c r="H1101" i="1"/>
  <c r="G563" i="1"/>
  <c r="H555" i="1"/>
  <c r="G252" i="1"/>
  <c r="H246" i="1"/>
  <c r="G1134" i="1"/>
  <c r="H1134" i="1" s="1"/>
  <c r="H1120" i="1"/>
  <c r="G371" i="1" l="1"/>
  <c r="H350" i="1"/>
  <c r="G416" i="1"/>
  <c r="H415" i="1"/>
  <c r="G496" i="1"/>
  <c r="H489" i="1"/>
  <c r="G256" i="1"/>
  <c r="H252" i="1"/>
  <c r="G566" i="1"/>
  <c r="H563" i="1"/>
  <c r="G749" i="1"/>
  <c r="H737" i="1"/>
  <c r="G506" i="1" l="1"/>
  <c r="H496" i="1"/>
  <c r="G432" i="1"/>
  <c r="H416" i="1"/>
  <c r="G390" i="1"/>
  <c r="H371" i="1"/>
  <c r="G766" i="1"/>
  <c r="H749" i="1"/>
  <c r="G570" i="1"/>
  <c r="H566" i="1"/>
  <c r="G264" i="1"/>
  <c r="H256" i="1"/>
  <c r="G411" i="1" l="1"/>
  <c r="H390" i="1"/>
  <c r="G441" i="1"/>
  <c r="H432" i="1"/>
  <c r="G516" i="1"/>
  <c r="H516" i="1" s="1"/>
  <c r="H506" i="1"/>
  <c r="G269" i="1"/>
  <c r="H264" i="1"/>
  <c r="G579" i="1"/>
  <c r="H570" i="1"/>
  <c r="G782" i="1"/>
  <c r="H766" i="1"/>
  <c r="G450" i="1" l="1"/>
  <c r="H441" i="1"/>
  <c r="G429" i="1"/>
  <c r="H411" i="1"/>
  <c r="G795" i="1"/>
  <c r="H782" i="1"/>
  <c r="G588" i="1"/>
  <c r="H579" i="1"/>
  <c r="G532" i="1"/>
  <c r="H269" i="1"/>
  <c r="G439" i="1" l="1"/>
  <c r="H429" i="1"/>
  <c r="H3" i="1" s="1"/>
  <c r="I3" i="1" s="1"/>
  <c r="J3" i="1" s="1"/>
  <c r="G459" i="1"/>
  <c r="H450" i="1"/>
  <c r="G548" i="1"/>
  <c r="H532" i="1"/>
  <c r="G596" i="1"/>
  <c r="H588" i="1"/>
  <c r="G813" i="1"/>
  <c r="H795" i="1"/>
  <c r="G468" i="1" l="1"/>
  <c r="H459" i="1"/>
  <c r="G444" i="1"/>
  <c r="H439" i="1"/>
  <c r="G832" i="1"/>
  <c r="H813" i="1"/>
  <c r="G612" i="1"/>
  <c r="H596" i="1"/>
  <c r="G556" i="1"/>
  <c r="H548" i="1"/>
  <c r="G448" i="1" l="1"/>
  <c r="H444" i="1"/>
  <c r="G478" i="1"/>
  <c r="H468" i="1"/>
  <c r="G571" i="1"/>
  <c r="H556" i="1"/>
  <c r="G633" i="1"/>
  <c r="H612" i="1"/>
  <c r="G846" i="1"/>
  <c r="H832" i="1"/>
  <c r="G487" i="1" l="1"/>
  <c r="H478" i="1"/>
  <c r="G457" i="1"/>
  <c r="H448" i="1"/>
  <c r="G871" i="1"/>
  <c r="H846" i="1"/>
  <c r="G647" i="1"/>
  <c r="H633" i="1"/>
  <c r="G580" i="1"/>
  <c r="H571" i="1"/>
  <c r="G466" i="1" l="1"/>
  <c r="H457" i="1"/>
  <c r="G495" i="1"/>
  <c r="H487" i="1"/>
  <c r="G589" i="1"/>
  <c r="H580" i="1"/>
  <c r="G655" i="1"/>
  <c r="H647" i="1"/>
  <c r="G885" i="1"/>
  <c r="H871" i="1"/>
  <c r="G504" i="1" l="1"/>
  <c r="H504" i="1" s="1"/>
  <c r="H495" i="1"/>
  <c r="G476" i="1"/>
  <c r="H466" i="1"/>
  <c r="G898" i="1"/>
  <c r="H885" i="1"/>
  <c r="G668" i="1"/>
  <c r="H655" i="1"/>
  <c r="G597" i="1"/>
  <c r="H589" i="1"/>
  <c r="G485" i="1" l="1"/>
  <c r="H476" i="1"/>
  <c r="G603" i="1"/>
  <c r="H597" i="1"/>
  <c r="G689" i="1"/>
  <c r="H668" i="1"/>
  <c r="G924" i="1"/>
  <c r="H898" i="1"/>
  <c r="G493" i="1" l="1"/>
  <c r="H485" i="1"/>
  <c r="G952" i="1"/>
  <c r="H924" i="1"/>
  <c r="G703" i="1"/>
  <c r="H689" i="1"/>
  <c r="G606" i="1"/>
  <c r="H603" i="1"/>
  <c r="G501" i="1" l="1"/>
  <c r="H493" i="1"/>
  <c r="G609" i="1"/>
  <c r="H606" i="1"/>
  <c r="G716" i="1"/>
  <c r="H703" i="1"/>
  <c r="G969" i="1"/>
  <c r="H952" i="1"/>
  <c r="G512" i="1" l="1"/>
  <c r="H512" i="1" s="1"/>
  <c r="H501" i="1"/>
  <c r="G995" i="1"/>
  <c r="H969" i="1"/>
  <c r="G720" i="1"/>
  <c r="H716" i="1"/>
  <c r="G613" i="1"/>
  <c r="H609" i="1"/>
  <c r="G634" i="1" l="1"/>
  <c r="H613" i="1"/>
  <c r="G732" i="1"/>
  <c r="H720" i="1"/>
  <c r="G1036" i="1"/>
  <c r="H995" i="1"/>
  <c r="G1055" i="1" l="1"/>
  <c r="H1036" i="1"/>
  <c r="G745" i="1"/>
  <c r="H732" i="1"/>
  <c r="G648" i="1"/>
  <c r="H634" i="1"/>
  <c r="G656" i="1" l="1"/>
  <c r="H648" i="1"/>
  <c r="G762" i="1"/>
  <c r="H745" i="1"/>
  <c r="G1075" i="1"/>
  <c r="H1055" i="1"/>
  <c r="G1109" i="1" l="1"/>
  <c r="H1075" i="1"/>
  <c r="G778" i="1"/>
  <c r="H762" i="1"/>
  <c r="G669" i="1"/>
  <c r="H656" i="1"/>
  <c r="G690" i="1" l="1"/>
  <c r="H669" i="1"/>
  <c r="G791" i="1"/>
  <c r="H778" i="1"/>
  <c r="G1122" i="1"/>
  <c r="H1109" i="1"/>
  <c r="G1138" i="1" l="1"/>
  <c r="H1138" i="1" s="1"/>
  <c r="H1122" i="1"/>
  <c r="G809" i="1"/>
  <c r="H791" i="1"/>
  <c r="G704" i="1"/>
  <c r="H690" i="1"/>
  <c r="G721" i="1" l="1"/>
  <c r="H704" i="1"/>
  <c r="G827" i="1"/>
  <c r="H809" i="1"/>
  <c r="G839" i="1" l="1"/>
  <c r="H827" i="1"/>
  <c r="G733" i="1"/>
  <c r="H721" i="1"/>
  <c r="G746" i="1" l="1"/>
  <c r="H733" i="1"/>
  <c r="G863" i="1"/>
  <c r="H839" i="1"/>
  <c r="G877" i="1" l="1"/>
  <c r="H863" i="1"/>
  <c r="G763" i="1"/>
  <c r="H746" i="1"/>
  <c r="G779" i="1" l="1"/>
  <c r="H763" i="1"/>
  <c r="G882" i="1"/>
  <c r="H877" i="1"/>
  <c r="G891" i="1" l="1"/>
  <c r="H882" i="1"/>
  <c r="G792" i="1"/>
  <c r="H779" i="1"/>
  <c r="G810" i="1" l="1"/>
  <c r="H792" i="1"/>
  <c r="G917" i="1"/>
  <c r="H891" i="1"/>
  <c r="G941" i="1" l="1"/>
  <c r="H917" i="1"/>
  <c r="G828" i="1"/>
  <c r="H810" i="1"/>
  <c r="G840" i="1" l="1"/>
  <c r="H828" i="1"/>
  <c r="G948" i="1"/>
  <c r="H941" i="1"/>
  <c r="G965" i="1" l="1"/>
  <c r="H948" i="1"/>
  <c r="G864" i="1"/>
  <c r="H840" i="1"/>
  <c r="G883" i="1" l="1"/>
  <c r="H864" i="1"/>
  <c r="G982" i="1"/>
  <c r="H965" i="1"/>
  <c r="G988" i="1" l="1"/>
  <c r="H982" i="1"/>
  <c r="G892" i="1"/>
  <c r="H883" i="1"/>
  <c r="G918" i="1" l="1"/>
  <c r="H892" i="1"/>
  <c r="G1000" i="1"/>
  <c r="H988" i="1"/>
  <c r="G1005" i="1" l="1"/>
  <c r="H1000" i="1"/>
  <c r="G942" i="1"/>
  <c r="H918" i="1"/>
  <c r="G949" i="1" l="1"/>
  <c r="H942" i="1"/>
  <c r="G1028" i="1"/>
  <c r="H1005" i="1"/>
  <c r="G1042" i="1" l="1"/>
  <c r="H1028" i="1"/>
  <c r="G966" i="1"/>
  <c r="H949" i="1"/>
  <c r="G983" i="1" l="1"/>
  <c r="H966" i="1"/>
  <c r="G1047" i="1"/>
  <c r="H1042" i="1"/>
  <c r="G1061" i="1" l="1"/>
  <c r="H1047" i="1"/>
  <c r="G989" i="1"/>
  <c r="H983" i="1"/>
  <c r="G1010" i="1" l="1"/>
  <c r="H989" i="1"/>
  <c r="G1066" i="1"/>
  <c r="H1061" i="1"/>
  <c r="G1082" i="1" l="1"/>
  <c r="H1066" i="1"/>
  <c r="G1013" i="1"/>
  <c r="H1010" i="1"/>
  <c r="G1016" i="1" l="1"/>
  <c r="H1013" i="1"/>
  <c r="G1093" i="1"/>
  <c r="H1082" i="1"/>
  <c r="G1104" i="1" l="1"/>
  <c r="H1093" i="1"/>
  <c r="G1021" i="1"/>
  <c r="H1016" i="1"/>
  <c r="G1025" i="1" l="1"/>
  <c r="H1021" i="1"/>
  <c r="G1118" i="1"/>
  <c r="H1104" i="1"/>
  <c r="G1130" i="1" l="1"/>
  <c r="H1118" i="1"/>
  <c r="G1029" i="1"/>
  <c r="H1025" i="1"/>
  <c r="G1048" i="1" l="1"/>
  <c r="H1029" i="1"/>
  <c r="G1151" i="1"/>
  <c r="H1130" i="1"/>
  <c r="G1156" i="1" l="1"/>
  <c r="H1151" i="1"/>
  <c r="G1067" i="1"/>
  <c r="H1048" i="1"/>
  <c r="G1083" i="1" l="1"/>
  <c r="H1067" i="1"/>
  <c r="G1161" i="1"/>
  <c r="H1156" i="1"/>
  <c r="G1166" i="1" l="1"/>
  <c r="H1166" i="1" s="1"/>
  <c r="H1161" i="1"/>
  <c r="G1094" i="1"/>
  <c r="H1083" i="1"/>
  <c r="G1105" i="1" l="1"/>
  <c r="H1094" i="1"/>
  <c r="G1119" i="1" l="1"/>
  <c r="H1105" i="1"/>
  <c r="G1131" i="1" l="1"/>
  <c r="H1119" i="1"/>
  <c r="G1157" i="1" l="1"/>
  <c r="H1131" i="1"/>
  <c r="G1162" i="1" l="1"/>
  <c r="H1157" i="1"/>
  <c r="G1167" i="1" l="1"/>
  <c r="H1162" i="1"/>
  <c r="G1171" i="1" l="1"/>
  <c r="H1167" i="1"/>
  <c r="G1174" i="1" l="1"/>
  <c r="H1171" i="1"/>
  <c r="G1177" i="1" l="1"/>
  <c r="H1177" i="1" s="1"/>
  <c r="H1174" i="1"/>
  <c r="G522" i="1" l="1"/>
  <c r="H522" i="1" s="1"/>
  <c r="G405" i="1" l="1"/>
  <c r="H405" i="1" s="1"/>
  <c r="G325" i="1"/>
  <c r="H325" i="1" s="1"/>
  <c r="G365" i="1"/>
  <c r="H365" i="1" s="1"/>
  <c r="H2" i="1" l="1"/>
  <c r="I2" i="1" s="1"/>
  <c r="J2" i="1" s="1"/>
  <c r="H1179" i="1"/>
  <c r="H13" i="1" l="1"/>
  <c r="G13" i="1" s="1"/>
  <c r="G12" i="1" s="1"/>
  <c r="I12" i="1" l="1"/>
  <c r="I119" i="1" s="1"/>
</calcChain>
</file>

<file path=xl/sharedStrings.xml><?xml version="1.0" encoding="utf-8"?>
<sst xmlns="http://schemas.openxmlformats.org/spreadsheetml/2006/main" count="10938" uniqueCount="2265">
  <si>
    <t>НАИМЕНОВАНИЕ ОБЪЕКТА: НАИМЕНОВАНИЕ ОБЪЕКТА: РП '' КАШКАДАРЁ ВИЛОЯТИДАГИ КОРАБОГ СУВ ОМБОРИНИ РЕКОНСТРУКЦИЯ КИЛИШ''</t>
  </si>
  <si>
    <t>№№</t>
  </si>
  <si>
    <t>ОБОСНОВАНИЕ</t>
  </si>
  <si>
    <t>НАИМЕНОВАНИЕ РАБОТ И РЕСУРСОВ</t>
  </si>
  <si>
    <t>ЕД.ИЗМ</t>
  </si>
  <si>
    <t>КОЛ-ВО</t>
  </si>
  <si>
    <t>НА ЕДИНИЦУ</t>
  </si>
  <si>
    <t>ПО ПРОЕКТУ</t>
  </si>
  <si>
    <t>1</t>
  </si>
  <si>
    <t>E1-1-31-2 T.Ч.01 П.3.31 КэМ=1,06</t>
  </si>
  <si>
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</t>
  </si>
  <si>
    <t>1000М3</t>
  </si>
  <si>
    <t>1,44</t>
  </si>
  <si>
    <t>1.1</t>
  </si>
  <si>
    <t>000003</t>
  </si>
  <si>
    <t>ЗАТРАТЫ ТРУДА МАШИНИСТОВ</t>
  </si>
  <si>
    <t>ЧЕЛ-Ч</t>
  </si>
  <si>
    <t>11,66</t>
  </si>
  <si>
    <t>1.2</t>
  </si>
  <si>
    <t>000259</t>
  </si>
  <si>
    <t>БУЛЬДОЗЕРЫ ПРИ РАБОТЕ НА ДРУГИХ ВИДАХ СТРОИТЕЛЬСТВА (КРОМЕ ВОДОХОЗЯЙСТВЕННОГО) 96 (130) КВТ (Л.С.)</t>
  </si>
  <si>
    <t>МАШ-Ч</t>
  </si>
  <si>
    <t>16,7904</t>
  </si>
  <si>
    <t>2</t>
  </si>
  <si>
    <t>E1-1-31-10 К=5</t>
  </si>
  <si>
    <t>ПРИ ПЕРЕМЕЩЕНИИ ГРУНТА НА КАЖДЫЕ ПОСЛЕДУЮЩИЕ 10 М ДОБАВЛЯТЬ К НОРМЕ 01-01-031-2 ЗА 5 PАЗ</t>
  </si>
  <si>
    <t>2.1</t>
  </si>
  <si>
    <t>46,2</t>
  </si>
  <si>
    <t>66,528</t>
  </si>
  <si>
    <t>2.2</t>
  </si>
  <si>
    <t>3</t>
  </si>
  <si>
    <t>E1-1-197-13 ШHК.ДОП.11</t>
  </si>
  <si>
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ГРУНТОВ:1</t>
  </si>
  <si>
    <t>3.1</t>
  </si>
  <si>
    <t>000001</t>
  </si>
  <si>
    <t>ЗАТРАТЫ ТРУДА РАБОЧИХ-СТРОИТЕЛЕЙ</t>
  </si>
  <si>
    <t>9,83</t>
  </si>
  <si>
    <t>14,1552</t>
  </si>
  <si>
    <t>3.2</t>
  </si>
  <si>
    <t>27,78</t>
  </si>
  <si>
    <t>40,0032</t>
  </si>
  <si>
    <t>3.3</t>
  </si>
  <si>
    <t>000258</t>
  </si>
  <si>
    <t>БУЛЬДОЗЕРЫ ПРИ РАБОТЕ НА ДРУГИХ ВИДАХ СТРОИТЕЛЬСТВА (КРОМЕ ВОДОХОЗЯЙСТВЕННОГО) 79 (108) КВТ (Л.С.)</t>
  </si>
  <si>
    <t>6,57</t>
  </si>
  <si>
    <t>9,4608</t>
  </si>
  <si>
    <t>3.4</t>
  </si>
  <si>
    <t>001940</t>
  </si>
  <si>
    <t>ЭКСКАВАТОРЫ НА ГУСЕНИЧНОМ ХОДУ ТИПА "ATLAS", "VOLVO", "KOMATSU", "HITACHI", "LIEBHER" С ЕМКОСТЬЮ КОВША 0,5 М3</t>
  </si>
  <si>
    <t>21,21</t>
  </si>
  <si>
    <t>30,5424</t>
  </si>
  <si>
    <t>3.5</t>
  </si>
  <si>
    <t>043113</t>
  </si>
  <si>
    <t>ЩЕБЕНЬ</t>
  </si>
  <si>
    <t>М3</t>
  </si>
  <si>
    <t>0,1</t>
  </si>
  <si>
    <t>0,144</t>
  </si>
  <si>
    <t>4</t>
  </si>
  <si>
    <t>С310-1001</t>
  </si>
  <si>
    <t>ПЕРЕВОЗКА ГРУЗОВ АВТОМОБИЛЕМ НА 1 КМ, КЛАСС ГРУЗА 1 #T.Ч.TАБ 7#КэМ=0,49 #КОЭФФИЦИEHTЫ К HОPМАМ ВPEМEHИ ДЛЯ УЧЁTА ГPУЗОПОДЪЁМHОСTИ АВTОСАМОСВАЛОВ: ГPУЗОПОДЪЁМHОСTЬ TH. 20</t>
  </si>
  <si>
    <t>Т</t>
  </si>
  <si>
    <t>2376</t>
  </si>
  <si>
    <t>4.1</t>
  </si>
  <si>
    <t>0,012887</t>
  </si>
  <si>
    <t>30,619512</t>
  </si>
  <si>
    <t>4.2</t>
  </si>
  <si>
    <t>000071</t>
  </si>
  <si>
    <t>АВТОМОБИЛИ-САМОСВАЛЫ ГРУЗОПОДЪЕМНОСТЬЮ ДО 20 Т</t>
  </si>
  <si>
    <t>5</t>
  </si>
  <si>
    <t>E1-1-15-1 К=2</t>
  </si>
  <si>
    <t>РЕМОНТ И СОДЕРЖАНИЕ ГРУНТОВЫХ ЗЕМЛЕВОЗНЫХ ДОРОГ НА КАЖДЫЕ 0,5 КМ ДЛИНЫ, ГРУППА ГРУНТОВ 1 ЗА 2 PАЗА</t>
  </si>
  <si>
    <t>5.1</t>
  </si>
  <si>
    <t>1,98</t>
  </si>
  <si>
    <t>2,8512</t>
  </si>
  <si>
    <t>5.2</t>
  </si>
  <si>
    <t>000107</t>
  </si>
  <si>
    <t>АВТОГРЕЙДЕРЫ СРЕДНЕГО ТИПА 99 (135) КВТ (Л.С.)</t>
  </si>
  <si>
    <t>5.3</t>
  </si>
  <si>
    <t>0,2</t>
  </si>
  <si>
    <t>0,288</t>
  </si>
  <si>
    <t>6</t>
  </si>
  <si>
    <t>E1-1-197-14 ШHК.ДОП.11</t>
  </si>
  <si>
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ГРУНТОВ:2</t>
  </si>
  <si>
    <t>5,638</t>
  </si>
  <si>
    <t>6.1</t>
  </si>
  <si>
    <t>11,99</t>
  </si>
  <si>
    <t>67,59962</t>
  </si>
  <si>
    <t>6.2</t>
  </si>
  <si>
    <t>33,89</t>
  </si>
  <si>
    <t>191,07182</t>
  </si>
  <si>
    <t>6.3</t>
  </si>
  <si>
    <t>8,02</t>
  </si>
  <si>
    <t>45,21676</t>
  </si>
  <si>
    <t>6.4</t>
  </si>
  <si>
    <t>25,87</t>
  </si>
  <si>
    <t>145,85506</t>
  </si>
  <si>
    <t>6.5</t>
  </si>
  <si>
    <t>0,12</t>
  </si>
  <si>
    <t>0,67656</t>
  </si>
  <si>
    <t>7</t>
  </si>
  <si>
    <t>9866</t>
  </si>
  <si>
    <t>7.1</t>
  </si>
  <si>
    <t>127,143142</t>
  </si>
  <si>
    <t>7.2</t>
  </si>
  <si>
    <t>8</t>
  </si>
  <si>
    <t>E1-2-57-2 T.Ч.01 П.3.187 КзП=1,2</t>
  </si>
  <si>
    <t>РАЗРАБОТКА ГРУНТА ВРУЧНУЮ В ТРАНШЕЯХ ГЛУБИНОЙ ДО 2 М БЕЗ КРЕПЛЕНИЙ С ОТКОСАМИ, ГРУППА ГРУНТОВ 2 #ДОPАБОTКА ВPУЧHУЮ, ЗАЧИСTКА ДHА И СTEHОК С ВЫКИДКОЙ ГPУHTА В КОTЛОВАHАХ И TPАHШEЯХ, PАЗPАБОTАHHЫХ МEХАHИЗИPОВАHHЫМ СПОСОБОМ</t>
  </si>
  <si>
    <t>100М3</t>
  </si>
  <si>
    <t>0,0864</t>
  </si>
  <si>
    <t>8.1</t>
  </si>
  <si>
    <t>184,8</t>
  </si>
  <si>
    <t>15,96672</t>
  </si>
  <si>
    <t>9</t>
  </si>
  <si>
    <t>E1-1-15-2 К=2</t>
  </si>
  <si>
    <t>РЕМОНТ И СОДЕРЖАНИЕ ГРУНТОВЫХ ЗЕМЛЕВОЗНЫХ ДОРОГ НА КАЖДЫЕ 0,5 КМ ДЛИНЫ, ГРУППА ГРУНТОВ 2 ЗА 2 PАЗА</t>
  </si>
  <si>
    <t>9.1</t>
  </si>
  <si>
    <t>2,14</t>
  </si>
  <si>
    <t>12,06532</t>
  </si>
  <si>
    <t>9.2</t>
  </si>
  <si>
    <t>9.3</t>
  </si>
  <si>
    <t>0,24</t>
  </si>
  <si>
    <t>1,35312</t>
  </si>
  <si>
    <t>10</t>
  </si>
  <si>
    <t>E1-1-16-2 T.Ч.01 П.3.30 КэМ=1,06</t>
  </si>
  <si>
    <t>РАБОТА НА ОТВАЛЕ, ГРУППА ГРУНТОВ 2-3 #PАЗPАБОTКА ГPУHTА ЭКСКАВАTОPАМИ И БУЛЬДОЗEPАМИ ПPИ PАБОTE: HА ВОДОХОЗЯЙСTВEHHОМ СTPОИTEЛЬСTВE</t>
  </si>
  <si>
    <t>10.1</t>
  </si>
  <si>
    <t>3,65</t>
  </si>
  <si>
    <t>20,5787</t>
  </si>
  <si>
    <t>10.2</t>
  </si>
  <si>
    <t>4,293</t>
  </si>
  <si>
    <t>24,203934</t>
  </si>
  <si>
    <t>10.3</t>
  </si>
  <si>
    <t>000162</t>
  </si>
  <si>
    <t>АВТОМОБИЛИ-САМОСВАЛЫ ГРУЗОПОДЪЕМНОСТЬЮ ДО 7 Т</t>
  </si>
  <si>
    <t>0,0848</t>
  </si>
  <si>
    <t>0,4781024</t>
  </si>
  <si>
    <t>10.4</t>
  </si>
  <si>
    <t>4,2082</t>
  </si>
  <si>
    <t>23,7258316</t>
  </si>
  <si>
    <t>10.5</t>
  </si>
  <si>
    <t>0,04</t>
  </si>
  <si>
    <t>0,22552</t>
  </si>
  <si>
    <t>11</t>
  </si>
  <si>
    <t>E23-1-1-3</t>
  </si>
  <si>
    <t>УСТРОЙСТВО ОСНОВАНИЯ ГРАВИЙНОГО</t>
  </si>
  <si>
    <t>10М3</t>
  </si>
  <si>
    <t>22,4</t>
  </si>
  <si>
    <t>11.1</t>
  </si>
  <si>
    <t>10,2</t>
  </si>
  <si>
    <t>228,48</t>
  </si>
  <si>
    <t>11.2</t>
  </si>
  <si>
    <t>0,51</t>
  </si>
  <si>
    <t>11,424</t>
  </si>
  <si>
    <t>11.3</t>
  </si>
  <si>
    <t>000112</t>
  </si>
  <si>
    <t>АВТОПОГРУЗЧИКИ 5 Т</t>
  </si>
  <si>
    <t>11.4</t>
  </si>
  <si>
    <t>012303</t>
  </si>
  <si>
    <t>СМЕСЬ ПЕСЧАНО-ГРАВИЙНАЯ ПРИРОДНАЯ</t>
  </si>
  <si>
    <t>12,5</t>
  </si>
  <si>
    <t>280</t>
  </si>
  <si>
    <t>12</t>
  </si>
  <si>
    <t>Т ТАРИФНАЯ СЕТК</t>
  </si>
  <si>
    <t>ПЕРФОРАЦИЯ ТРУБ ОТВЕРСТИЕМ Д=6ММ</t>
  </si>
  <si>
    <t>ШТ</t>
  </si>
  <si>
    <t>5333</t>
  </si>
  <si>
    <t>12.1</t>
  </si>
  <si>
    <t>0,006944</t>
  </si>
  <si>
    <t>37,032352</t>
  </si>
  <si>
    <t>12.2</t>
  </si>
  <si>
    <t>000521</t>
  </si>
  <si>
    <t>ДРЕЛИ ЭЛЕКТРИЧЕСКИЕ</t>
  </si>
  <si>
    <t>13</t>
  </si>
  <si>
    <t>E23-1-20-2 ШHК.ДОП.6</t>
  </si>
  <si>
    <t>УКЛАДКА КАНАЛИЗАЦИОННЫХ БЕЗНАПОРНЫХ РАСТРУБНЫХ ТРУБ ИЗ ПОЛИВИНИЛХЛОРИДА /ПВХ/ ДИАМЕТРОМ:250 ММ</t>
  </si>
  <si>
    <t>100М</t>
  </si>
  <si>
    <t>1,6</t>
  </si>
  <si>
    <t>13.1</t>
  </si>
  <si>
    <t>27,12</t>
  </si>
  <si>
    <t>43,392</t>
  </si>
  <si>
    <t>13.2</t>
  </si>
  <si>
    <t>4,2</t>
  </si>
  <si>
    <t>6,72</t>
  </si>
  <si>
    <t>13.3</t>
  </si>
  <si>
    <t>000761</t>
  </si>
  <si>
    <t>КРАНЫ НА АВТОМОБИЛЬНОМ ХОДУ ПРИ РАБОТЕ НА ДРУГИХ ВИДАХ СТРОИТЕЛЬСТВА (КРОМЕ МАГИСТРАЛЬНЫХ ТРУБОПРОВОДОВ) 6,3 Т</t>
  </si>
  <si>
    <t>4,05</t>
  </si>
  <si>
    <t>6,48</t>
  </si>
  <si>
    <t>13.4</t>
  </si>
  <si>
    <t>002499</t>
  </si>
  <si>
    <t>АВТОМОБИЛИ БОРТОВЫЕ ГРУЗОПОДЪЕМНОСТЬЮ ДО 5 Т</t>
  </si>
  <si>
    <t>0,15</t>
  </si>
  <si>
    <t>13.5</t>
  </si>
  <si>
    <t>009219</t>
  </si>
  <si>
    <t>ВОДА</t>
  </si>
  <si>
    <t>4,9</t>
  </si>
  <si>
    <t>7,84</t>
  </si>
  <si>
    <t>14</t>
  </si>
  <si>
    <t>С1530-9001</t>
  </si>
  <si>
    <t>ТРУБЫ ДРЕНАЖНЫЕ ПОЛИЭТИЛЕНОВЫЕ ПЕРФОРИРОВАННЫЕ ДИАМЕТР 250Х16,3</t>
  </si>
  <si>
    <t>М</t>
  </si>
  <si>
    <t>161,6</t>
  </si>
  <si>
    <t>15</t>
  </si>
  <si>
    <t>E23-1-20-3 ШHК.ДОП.6</t>
  </si>
  <si>
    <t>УКЛАДКА КАНАЛИЗАЦИОННЫХ БЕЗНАПОРНЫХ РАСТРУБНЫХ ТРУБ ИЗ ПОЛИВИНИЛХЛОРИДА /ПВХ/ ДИАМЕТРОМ:315 ММ</t>
  </si>
  <si>
    <t>0,4</t>
  </si>
  <si>
    <t>15.1</t>
  </si>
  <si>
    <t>29,68</t>
  </si>
  <si>
    <t>11,872</t>
  </si>
  <si>
    <t>15.2</t>
  </si>
  <si>
    <t>4,62</t>
  </si>
  <si>
    <t>1,848</t>
  </si>
  <si>
    <t>15.3</t>
  </si>
  <si>
    <t>4,41</t>
  </si>
  <si>
    <t>1,764</t>
  </si>
  <si>
    <t>15.4</t>
  </si>
  <si>
    <t>0,21</t>
  </si>
  <si>
    <t>0,084</t>
  </si>
  <si>
    <t>15.5</t>
  </si>
  <si>
    <t>7,8</t>
  </si>
  <si>
    <t>3,12</t>
  </si>
  <si>
    <t>16</t>
  </si>
  <si>
    <t>С113-9034</t>
  </si>
  <si>
    <t>ТРУБЫ ДРЕНАЖНЫЕ ПОЛИЭТИЛЕНОВЫЕ НЕПЕРФОРИРОВАННЫЕ ДИАМЕТР 315Х14</t>
  </si>
  <si>
    <t>40,4</t>
  </si>
  <si>
    <t>17</t>
  </si>
  <si>
    <t>0,25</t>
  </si>
  <si>
    <t>17.1</t>
  </si>
  <si>
    <t>18</t>
  </si>
  <si>
    <t>E38-1-4-4</t>
  </si>
  <si>
    <t>УСТРОЙСТВО В СООРУЖЕНИЯХ ФИЛЬТРОВ ДРЕНАЖЕЙ ЛЕНТОЧНЫХ ПРИ ПОДАЧЕ МАТЕРИАЛОВ ВРУЧНУЮ</t>
  </si>
  <si>
    <t>10,67</t>
  </si>
  <si>
    <t>18.1</t>
  </si>
  <si>
    <t>384</t>
  </si>
  <si>
    <t>4097,28</t>
  </si>
  <si>
    <t>18.2</t>
  </si>
  <si>
    <t>0,06</t>
  </si>
  <si>
    <t>0,6402</t>
  </si>
  <si>
    <t>18.3</t>
  </si>
  <si>
    <t>002509</t>
  </si>
  <si>
    <t>18.4</t>
  </si>
  <si>
    <t>009611</t>
  </si>
  <si>
    <t>ФИЛЬТРУЮЩИЕ МАТЕРИАЛЫ</t>
  </si>
  <si>
    <t>105</t>
  </si>
  <si>
    <t>1120,35</t>
  </si>
  <si>
    <t>18.5</t>
  </si>
  <si>
    <t>023469</t>
  </si>
  <si>
    <t>138,71</t>
  </si>
  <si>
    <t>18.6</t>
  </si>
  <si>
    <t>030407</t>
  </si>
  <si>
    <t>ГВОЗДИ СТРОИТЕЛЬНЫЕ</t>
  </si>
  <si>
    <t>0,0027</t>
  </si>
  <si>
    <t>0,028809</t>
  </si>
  <si>
    <t>18.7</t>
  </si>
  <si>
    <t>036053</t>
  </si>
  <si>
    <t>ПИЛОМАТЕРИАЛЫ ХВОЙНЫХ ПОРОД. ДОСКИ ОБРЕЗНЫЕ ДЛИНОЙ 4-6,5 М, ШИРИНОЙ 75-150 ММ, ТОЛЩИНОЙ 25 ММ III СОРТА</t>
  </si>
  <si>
    <t>0,153</t>
  </si>
  <si>
    <t>1,63251</t>
  </si>
  <si>
    <t>19</t>
  </si>
  <si>
    <t>4,571</t>
  </si>
  <si>
    <t>19.1</t>
  </si>
  <si>
    <t>54,80629</t>
  </si>
  <si>
    <t>19.2</t>
  </si>
  <si>
    <t>154,91119</t>
  </si>
  <si>
    <t>19.3</t>
  </si>
  <si>
    <t>36,65942</t>
  </si>
  <si>
    <t>19.4</t>
  </si>
  <si>
    <t>118,25177</t>
  </si>
  <si>
    <t>19.5</t>
  </si>
  <si>
    <t>0,54852</t>
  </si>
  <si>
    <t>20</t>
  </si>
  <si>
    <t>7999</t>
  </si>
  <si>
    <t>20.1</t>
  </si>
  <si>
    <t>103,083113</t>
  </si>
  <si>
    <t>20.2</t>
  </si>
  <si>
    <t>21</t>
  </si>
  <si>
    <t>21.1</t>
  </si>
  <si>
    <t>9,78194</t>
  </si>
  <si>
    <t>21.2</t>
  </si>
  <si>
    <t>21.3</t>
  </si>
  <si>
    <t>1,09704</t>
  </si>
  <si>
    <t>22</t>
  </si>
  <si>
    <t>E1-1-31-2 #T.Ч.01 П.3.31#КэМ=1,06# #T.Ч.П.3.76#К=0,85</t>
  </si>
  <si>
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 PАHEE PАЗPЫХЛEHHЫХ</t>
  </si>
  <si>
    <t>22.1</t>
  </si>
  <si>
    <t>9,911</t>
  </si>
  <si>
    <t>45,303181</t>
  </si>
  <si>
    <t>22.2</t>
  </si>
  <si>
    <t>23</t>
  </si>
  <si>
    <t>23.1</t>
  </si>
  <si>
    <t>211,1802</t>
  </si>
  <si>
    <t>23.2</t>
  </si>
  <si>
    <t>24</t>
  </si>
  <si>
    <t>E37-4-1-1</t>
  </si>
  <si>
    <t>УСТРОЙСТВО ПЛИТНЫХ ОСНОВАНИЙ</t>
  </si>
  <si>
    <t>0,01044</t>
  </si>
  <si>
    <t>24.1</t>
  </si>
  <si>
    <t>218</t>
  </si>
  <si>
    <t>2,27592</t>
  </si>
  <si>
    <t>24.2</t>
  </si>
  <si>
    <t>19,3</t>
  </si>
  <si>
    <t>0,201492</t>
  </si>
  <si>
    <t>24.3</t>
  </si>
  <si>
    <t>000404</t>
  </si>
  <si>
    <t>ВИБРАТОРЫ ПОВЕРХНОСТНЫЕ</t>
  </si>
  <si>
    <t>11,4</t>
  </si>
  <si>
    <t>0,119016</t>
  </si>
  <si>
    <t>24.4</t>
  </si>
  <si>
    <t>000660</t>
  </si>
  <si>
    <t>КОМПРЕССОРЫ ПЕРЕДВИЖНЫЕ С ДВИГАТЕЛЕМ ВНУТРЕННЕГО СГОРАНИЯ ДАВЛЕНИЕМ ДО 686 КПА (7 АТМ.) 5 М3/МИН</t>
  </si>
  <si>
    <t>5,34</t>
  </si>
  <si>
    <t>0,0557496</t>
  </si>
  <si>
    <t>24.5</t>
  </si>
  <si>
    <t>000762</t>
  </si>
  <si>
    <t>КРАНЫ НА АВТОМОБИЛЬНОМ ХОДУ ПРИ РАБОТЕ НА ДРУГИХ ВИДАХ СТРОИТЕЛЬСТВА (КРОМЕ МАГИСТРАЛЬНЫХ ТРУБОПРОВОДОВ) 10 Т</t>
  </si>
  <si>
    <t>0,48</t>
  </si>
  <si>
    <t>0,0050112</t>
  </si>
  <si>
    <t>24.6</t>
  </si>
  <si>
    <t>000783</t>
  </si>
  <si>
    <t>КРАНЫ НА ГУСЕНИЧНОМ ХОДУ ПРИ РАБОТЕ НА ДРУГИХ ВИДАХ СТРОИТЕЛЬСТВА (КРОМЕ МАГИСТРАЛЬНЫХ ТРУБОПРОВОДОВ) ДО 16 Т</t>
  </si>
  <si>
    <t>9,2</t>
  </si>
  <si>
    <t>0,096048</t>
  </si>
  <si>
    <t>24.7</t>
  </si>
  <si>
    <t>001199</t>
  </si>
  <si>
    <t>МОЛОТКИ ОТБОЙНЫЕ ПНЕВМАТИЧЕСКИЕ</t>
  </si>
  <si>
    <t>21,36</t>
  </si>
  <si>
    <t>0,2229984</t>
  </si>
  <si>
    <t>24.8</t>
  </si>
  <si>
    <t>002349</t>
  </si>
  <si>
    <t>ЭЛЕКТРОСТАНЦИИ ПЕРЕДВИЖНЫЕ 4 КВТ</t>
  </si>
  <si>
    <t>2,85</t>
  </si>
  <si>
    <t>0,029754</t>
  </si>
  <si>
    <t>24.9</t>
  </si>
  <si>
    <t>0,0150336</t>
  </si>
  <si>
    <t>24.10</t>
  </si>
  <si>
    <t>006941</t>
  </si>
  <si>
    <t>БЕТОН ГИДРОТЕХНИЧЕСКИЙ МОРОЗОСТОЙКИЙ 150 М-200 ФРАКЦИИ 5-10ММ</t>
  </si>
  <si>
    <t>101,5</t>
  </si>
  <si>
    <t>1,05966</t>
  </si>
  <si>
    <t>24.11</t>
  </si>
  <si>
    <t>022453</t>
  </si>
  <si>
    <t>РАСТВОР ГОТОВЫЙ КЛАДОЧНЫЙ ЦЕМЕНТНЫЙ, МАРКА: 100</t>
  </si>
  <si>
    <t>0,69</t>
  </si>
  <si>
    <t>0,0072036</t>
  </si>
  <si>
    <t>24.12</t>
  </si>
  <si>
    <t>0,2088</t>
  </si>
  <si>
    <t>24.13</t>
  </si>
  <si>
    <t>0,005</t>
  </si>
  <si>
    <t>0,000052</t>
  </si>
  <si>
    <t>24.14</t>
  </si>
  <si>
    <t>032202</t>
  </si>
  <si>
    <t>МАСЛО ДИЗЕЛЬНОЕ МОТОРНОЕ М-10ДМ</t>
  </si>
  <si>
    <t>0,0053</t>
  </si>
  <si>
    <t>0,000055</t>
  </si>
  <si>
    <t>24.15</t>
  </si>
  <si>
    <t>036062</t>
  </si>
  <si>
    <t>ПИЛОМАТЕРИАЛЫ ХВОЙНЫХ ПОРОД. ДОСКИ ОБРЕЗНЫЕ ДЛИНОЙ 4-6,5 М, ШИРИНОЙ 75-150 ММ, ТОЛЩИНОЙ 44 ММ И БОЛЕЕ IV СОРТА</t>
  </si>
  <si>
    <t>0,002088</t>
  </si>
  <si>
    <t>24.16</t>
  </si>
  <si>
    <t>044629</t>
  </si>
  <si>
    <t>ТКАНЬ МЕШОЧНАЯ</t>
  </si>
  <si>
    <t>10М2</t>
  </si>
  <si>
    <t>5,32</t>
  </si>
  <si>
    <t>0,0555408</t>
  </si>
  <si>
    <t>24.17</t>
  </si>
  <si>
    <t>051619</t>
  </si>
  <si>
    <t>ЩИТЫ ИЗ ДОСОК ТОЛЩИНОЙ 25 ММ</t>
  </si>
  <si>
    <t>М2</t>
  </si>
  <si>
    <t>18,7</t>
  </si>
  <si>
    <t>0,195228</t>
  </si>
  <si>
    <t>25</t>
  </si>
  <si>
    <t>E37-4-2-8</t>
  </si>
  <si>
    <t>УСТРОЙСТВО КОНСТРУКЦИЙ ИЗ СБОРНОГО ЖЕЛЕЗОБЕТОНА КОЛОДЦЕВ С ЗАДЕЛКОЙ СТЫКОВ ЦЕМЕНТНЫМ РАСТВОРОМ</t>
  </si>
  <si>
    <t>0,108</t>
  </si>
  <si>
    <t>25.1</t>
  </si>
  <si>
    <t>834</t>
  </si>
  <si>
    <t>90,072</t>
  </si>
  <si>
    <t>25.2</t>
  </si>
  <si>
    <t>144,21</t>
  </si>
  <si>
    <t>15,57468</t>
  </si>
  <si>
    <t>25.3</t>
  </si>
  <si>
    <t>000127</t>
  </si>
  <si>
    <t>АГРЕГАТЫ СВАРОЧНЫЕ ПЕРЕДВИЖНЫЕ С НОМИНАЛЬНЫМ СВАРОЧНЫМ ТОКОМ 250-400 А С БЕНЗИНОВЫМ ДВИГАТЕЛЕМ</t>
  </si>
  <si>
    <t>1,728</t>
  </si>
  <si>
    <t>25.4</t>
  </si>
  <si>
    <t>3,3</t>
  </si>
  <si>
    <t>0,3564</t>
  </si>
  <si>
    <t>25.5</t>
  </si>
  <si>
    <t>131,07</t>
  </si>
  <si>
    <t>14,15556</t>
  </si>
  <si>
    <t>25.6</t>
  </si>
  <si>
    <t>9,84</t>
  </si>
  <si>
    <t>1,06272</t>
  </si>
  <si>
    <t>25.7</t>
  </si>
  <si>
    <t>4,84</t>
  </si>
  <si>
    <t>0,52272</t>
  </si>
  <si>
    <t>25.8</t>
  </si>
  <si>
    <t>0,063</t>
  </si>
  <si>
    <t>0,006804</t>
  </si>
  <si>
    <t>25.9</t>
  </si>
  <si>
    <t>032543</t>
  </si>
  <si>
    <t>ПРОВОЛОКА СВЕТЛАЯ ДИАМЕТРОМ 1,1 ММ</t>
  </si>
  <si>
    <t>0,01296</t>
  </si>
  <si>
    <t>25.10</t>
  </si>
  <si>
    <t>035310</t>
  </si>
  <si>
    <t>ЭЛЕКТРОДЫ ДИАМЕТРОМ 4 ММ Э42</t>
  </si>
  <si>
    <t>0,008</t>
  </si>
  <si>
    <t>0,000864</t>
  </si>
  <si>
    <t>25.11</t>
  </si>
  <si>
    <t>036025</t>
  </si>
  <si>
    <t>ПИЛОМАТЕРИАЛЫ ХВОЙНЫХ ПОРОД. БРУСКИ ОБРЕЗНЫЕ ДЛИНОЙ 4-6,5 М, ШИРИНОЙ 75-150 ММ, ТОЛЩИНОЙ 40-75 ММ III СОРТА</t>
  </si>
  <si>
    <t>5,79</t>
  </si>
  <si>
    <t>0,62532</t>
  </si>
  <si>
    <t>25.12</t>
  </si>
  <si>
    <t>036061</t>
  </si>
  <si>
    <t>ПИЛОМАТЕРИАЛЫ ХВОЙНЫХ ПОРОД. ДОСКИ ОБРЕЗНЫЕ ДЛИНОЙ 4-6,5 М, ШИРИНОЙ 75-150 ММ, ТОЛЩИНОЙ 44 ММ И БОЛЕЕ III СОРТА</t>
  </si>
  <si>
    <t>0,02592</t>
  </si>
  <si>
    <t>25.13</t>
  </si>
  <si>
    <t>041268</t>
  </si>
  <si>
    <t>ДЕТАЛИ АНКЕРНЫЕ</t>
  </si>
  <si>
    <t>0,018</t>
  </si>
  <si>
    <t>0,001944</t>
  </si>
  <si>
    <t>25.14</t>
  </si>
  <si>
    <t>044109</t>
  </si>
  <si>
    <t>ДЕТАЛИ ЗАКЛАДНЫЕ И НАКЛАДНЫЕ</t>
  </si>
  <si>
    <t>0,71</t>
  </si>
  <si>
    <t>0,07668</t>
  </si>
  <si>
    <t>26</t>
  </si>
  <si>
    <t>ТКАТ-585521-153</t>
  </si>
  <si>
    <t>КОЛЬЦО СТЕНОВОЕ КС15-1</t>
  </si>
  <si>
    <t>2,16</t>
  </si>
  <si>
    <t>27</t>
  </si>
  <si>
    <t>ТКАТ-585521-152</t>
  </si>
  <si>
    <t>КОЛЬЦО СТЕНОВОЕ КС15-2</t>
  </si>
  <si>
    <t>4,8</t>
  </si>
  <si>
    <t>28</t>
  </si>
  <si>
    <t>ТКАТ-585521-468</t>
  </si>
  <si>
    <t>КОЛЬЦО СТЕНОВОЕ КСД-15-2-1А</t>
  </si>
  <si>
    <t>3,84</t>
  </si>
  <si>
    <t>29</t>
  </si>
  <si>
    <t>E37-4-2-12</t>
  </si>
  <si>
    <t>УСТРОЙСТВО КОНСТРУКЦИЙ ИЗ СБОРНОГО ЖЕЛЕЗОБЕТОНА ПЛИТ ПЕРЕКРЫТИЙ</t>
  </si>
  <si>
    <t>0,012</t>
  </si>
  <si>
    <t>29.1</t>
  </si>
  <si>
    <t>336</t>
  </si>
  <si>
    <t>4,032</t>
  </si>
  <si>
    <t>29.2</t>
  </si>
  <si>
    <t>75,3</t>
  </si>
  <si>
    <t>0,9036</t>
  </si>
  <si>
    <t>29.3</t>
  </si>
  <si>
    <t>2,58</t>
  </si>
  <si>
    <t>0,03096</t>
  </si>
  <si>
    <t>29.4</t>
  </si>
  <si>
    <t>64,9</t>
  </si>
  <si>
    <t>0,7788</t>
  </si>
  <si>
    <t>29.5</t>
  </si>
  <si>
    <t>0,0936</t>
  </si>
  <si>
    <t>29.6</t>
  </si>
  <si>
    <t>4,35</t>
  </si>
  <si>
    <t>0,0522</t>
  </si>
  <si>
    <t>30</t>
  </si>
  <si>
    <t>С140-42330</t>
  </si>
  <si>
    <t>ПЛИТЫ ПЕРЕКРЫТИЯ ПП-15-1-16</t>
  </si>
  <si>
    <t>1,2</t>
  </si>
  <si>
    <t>31</t>
  </si>
  <si>
    <t>E23-4-11-1</t>
  </si>
  <si>
    <t>УСТАНОВКА ЛЮКА</t>
  </si>
  <si>
    <t>31.1</t>
  </si>
  <si>
    <t>1,31</t>
  </si>
  <si>
    <t>7,86</t>
  </si>
  <si>
    <t>31.2</t>
  </si>
  <si>
    <t>0,07</t>
  </si>
  <si>
    <t>0,42</t>
  </si>
  <si>
    <t>31.3</t>
  </si>
  <si>
    <t>31.4</t>
  </si>
  <si>
    <t>022007</t>
  </si>
  <si>
    <t>БЕТОН ТЯЖЕЛЫЙ, КЛАСС В 20 (М250)</t>
  </si>
  <si>
    <t>0,0008</t>
  </si>
  <si>
    <t>0,0048</t>
  </si>
  <si>
    <t>31.5</t>
  </si>
  <si>
    <t>061785</t>
  </si>
  <si>
    <t>ЛЮКИ ЧУГУННЫЕ</t>
  </si>
  <si>
    <t>32</t>
  </si>
  <si>
    <t>E6-1-15-6</t>
  </si>
  <si>
    <t>УСТАНОВКА СТАЛЬНЫХ КОНСТРУКЦИЙ, ОСТАЮЩИХСЯ В ТЕЛЕ БЕТОНА</t>
  </si>
  <si>
    <t>0,081</t>
  </si>
  <si>
    <t>32.1</t>
  </si>
  <si>
    <t>46,33</t>
  </si>
  <si>
    <t>3,75273</t>
  </si>
  <si>
    <t>32.2</t>
  </si>
  <si>
    <t>4,38</t>
  </si>
  <si>
    <t>0,35478</t>
  </si>
  <si>
    <t>32.3</t>
  </si>
  <si>
    <t>1,75</t>
  </si>
  <si>
    <t>0,14175</t>
  </si>
  <si>
    <t>32.4</t>
  </si>
  <si>
    <t>002016</t>
  </si>
  <si>
    <t>УСТАНОВКИ ДЛЯ СВАРКИ РУЧНОЙ ДУГОВОЙ (ПОСТОЯННОГО ТОКА)</t>
  </si>
  <si>
    <t>8,82</t>
  </si>
  <si>
    <t>0,71442</t>
  </si>
  <si>
    <t>32.5</t>
  </si>
  <si>
    <t>2,63</t>
  </si>
  <si>
    <t>0,21303</t>
  </si>
  <si>
    <t>32.6</t>
  </si>
  <si>
    <t>003506</t>
  </si>
  <si>
    <t>ГОРЯЧЕКАТАННАЯ АРМАТУРНАЯ СТАЛЬ ГЛАДКАЯ КЛАССА А-I ДИАМЕТРОМ 10 ММ</t>
  </si>
  <si>
    <t>32.7</t>
  </si>
  <si>
    <t>0,007</t>
  </si>
  <si>
    <t>0,000567</t>
  </si>
  <si>
    <t>33</t>
  </si>
  <si>
    <t>E41-1-8-5</t>
  </si>
  <si>
    <t>ОКРАСОЧНАЯ ИЗОЛЯЦИЯ ВЕРТИКАЛЬНОЙ БЕТОННОЙ ПОВЕРХНОСТИ РАЗЖИЖЕННЫМ БИТУМОМ В ДВА СЛОЯ</t>
  </si>
  <si>
    <t>100М2</t>
  </si>
  <si>
    <t>1,5</t>
  </si>
  <si>
    <t>33.1</t>
  </si>
  <si>
    <t>53,6</t>
  </si>
  <si>
    <t>80,4</t>
  </si>
  <si>
    <t>33.2</t>
  </si>
  <si>
    <t>000913</t>
  </si>
  <si>
    <t>КОТЛЫ БИТУМНЫЕ ПЕРЕДВИЖНЫЕ 400 Л</t>
  </si>
  <si>
    <t>0,16</t>
  </si>
  <si>
    <t>33.3</t>
  </si>
  <si>
    <t>044059</t>
  </si>
  <si>
    <t>ВЕТОШЬ</t>
  </si>
  <si>
    <t>КГ</t>
  </si>
  <si>
    <t>0,3</t>
  </si>
  <si>
    <t>0,45</t>
  </si>
  <si>
    <t>34</t>
  </si>
  <si>
    <t>E41-1-16-2</t>
  </si>
  <si>
    <t>ПРИГОТОВЛЕНИЕ РАЗЖИЖЕННОГО БИТУМА РБ-1</t>
  </si>
  <si>
    <t>1Т</t>
  </si>
  <si>
    <t>0,03</t>
  </si>
  <si>
    <t>34.1</t>
  </si>
  <si>
    <t>5,78</t>
  </si>
  <si>
    <t>0,1734</t>
  </si>
  <si>
    <t>34.2</t>
  </si>
  <si>
    <t>3,09</t>
  </si>
  <si>
    <t>0,0927</t>
  </si>
  <si>
    <t>34.3</t>
  </si>
  <si>
    <t>000758</t>
  </si>
  <si>
    <t>КРАНЫ НА АВТОМОБИЛЬНОМ ХОДУ ПРИ РАБОТЕ НА ГИДРОЭНЕРГЕТИЧЕСКОМ СТРОИТЕЛЬСТВЕ 10 Т</t>
  </si>
  <si>
    <t>0,33</t>
  </si>
  <si>
    <t>0,0099</t>
  </si>
  <si>
    <t>34.4</t>
  </si>
  <si>
    <t>000863</t>
  </si>
  <si>
    <t>КОТЛЫ БИТУМНЫЕ ПЕРЕДВИЖНЫЕ 1000 Л</t>
  </si>
  <si>
    <t>1,8</t>
  </si>
  <si>
    <t>0,054</t>
  </si>
  <si>
    <t>34.5</t>
  </si>
  <si>
    <t>001613</t>
  </si>
  <si>
    <t>РАСТВОРОСМЕСИТЕЛИ ПЕРЕДВИЖНЫЕ 80 Л</t>
  </si>
  <si>
    <t>2,26</t>
  </si>
  <si>
    <t>0,0678</t>
  </si>
  <si>
    <t>34.6</t>
  </si>
  <si>
    <t>0,5</t>
  </si>
  <si>
    <t>0,015</t>
  </si>
  <si>
    <t>34.7</t>
  </si>
  <si>
    <t>030101</t>
  </si>
  <si>
    <t>БИТУМЫ НЕФТЯНЫЕ СТРОИТЕЛЬНЫЕ ИЗОЛЯЦИОННЫЕ БНИ-IV-3, БНИ-IV, БНИ-V</t>
  </si>
  <si>
    <t>0,32</t>
  </si>
  <si>
    <t>0,0096</t>
  </si>
  <si>
    <t>34.8</t>
  </si>
  <si>
    <t>031519</t>
  </si>
  <si>
    <t>БЕНЗИН РАСТВОРИТЕЛЬ</t>
  </si>
  <si>
    <t>0,72</t>
  </si>
  <si>
    <t>0,0216</t>
  </si>
  <si>
    <t>35</t>
  </si>
  <si>
    <t>E41-1-16-3</t>
  </si>
  <si>
    <t>ПРИГОТОВЛЕНИЕ РАЗЖИЖЕННОГО БИТУМА РБ-2</t>
  </si>
  <si>
    <t>0,465</t>
  </si>
  <si>
    <t>35.1</t>
  </si>
  <si>
    <t>10,82</t>
  </si>
  <si>
    <t>5,0313</t>
  </si>
  <si>
    <t>35.2</t>
  </si>
  <si>
    <t>2,84</t>
  </si>
  <si>
    <t>1,3206</t>
  </si>
  <si>
    <t>35.3</t>
  </si>
  <si>
    <t>0,15345</t>
  </si>
  <si>
    <t>35.4</t>
  </si>
  <si>
    <t>4,19</t>
  </si>
  <si>
    <t>1,94835</t>
  </si>
  <si>
    <t>35.5</t>
  </si>
  <si>
    <t>2,01</t>
  </si>
  <si>
    <t>0,93465</t>
  </si>
  <si>
    <t>35.6</t>
  </si>
  <si>
    <t>0,2325</t>
  </si>
  <si>
    <t>35.7</t>
  </si>
  <si>
    <t>0,74</t>
  </si>
  <si>
    <t>0,3441</t>
  </si>
  <si>
    <t>35.8</t>
  </si>
  <si>
    <t>0,31</t>
  </si>
  <si>
    <t>0,14415</t>
  </si>
  <si>
    <t>ЗЕМЛЯНЫЕ РАБОТЫ</t>
  </si>
  <si>
    <t>E1-1-31-1 T.Ч.01 П.3.31 КэМ=1,06</t>
  </si>
  <si>
    <t>РАЗРАБОТКА ГРУНТА С ПЕРЕМЕЩЕНИЕМ ДО 10 М БУЛЬДОЗЕРАМИ МОЩНОСТЬЮ 96 [130] КВТ [Л.С.], 1 ГРУППА ГРУНТОВ #PАЗPАБОTКА ГPУHTА ЭКСКАВАTОPАМИ И БУЛЬДОЗEPАМИ ПPИ PАБОTE: HА ВОДОХОЗЯЙСTВEHHОМ СTPОИTEЛЬСTВE</t>
  </si>
  <si>
    <t>28,63511</t>
  </si>
  <si>
    <t>10,2608</t>
  </si>
  <si>
    <t>293,819136688</t>
  </si>
  <si>
    <t>E1-1-31-9 К=5</t>
  </si>
  <si>
    <t>ПРИ ПЕРЕМЕЩЕНИИ ГРУНТА НА КАЖДЫЕ ПОСЛЕДУЮЩИЕ 10 М ДОБАВЛЯТЬ К НОРМЕ 01-01-031-1 ЗА 5 PАЗ</t>
  </si>
  <si>
    <t>40,7</t>
  </si>
  <si>
    <t>1165,448977</t>
  </si>
  <si>
    <t>E1-1-36-2</t>
  </si>
  <si>
    <t>ПЛАНИРОВКА ПЛОЩАДЕЙ БУЛЬДОЗЕРАМИ МОЩНОСТЬЮ 79 [108] КВТ [Л.С.]</t>
  </si>
  <si>
    <t>1000М2</t>
  </si>
  <si>
    <t>57,26956</t>
  </si>
  <si>
    <t>14,31739</t>
  </si>
  <si>
    <t>22,464</t>
  </si>
  <si>
    <t>261,93024</t>
  </si>
  <si>
    <t>E1-1-197-2 ШHК.ДОП.11</t>
  </si>
  <si>
    <t>РАЗРАБОТКА ГРУНТА С ПОГРУЗКОЙ В АВТОМОБИЛИ-САМОСВАЛЫ ЭКСКАВАТОРАМИ ТИПА "ATLAS", "VOLVO", "KOMATSU", "HITACHI", "LIEBHER", "HYUNDAI ROBEX" С КОВШОМ ВМЕСТИМОСТЬЮ 1,0 /1-1,24/ М3, ГРУППА ГРУНТОВ:2</t>
  </si>
  <si>
    <t>271,7446</t>
  </si>
  <si>
    <t>5,86</t>
  </si>
  <si>
    <t>1592,423356</t>
  </si>
  <si>
    <t>29,2</t>
  </si>
  <si>
    <t>7934,94232</t>
  </si>
  <si>
    <t>3,92</t>
  </si>
  <si>
    <t>1065,238832</t>
  </si>
  <si>
    <t>5.4</t>
  </si>
  <si>
    <t>001942</t>
  </si>
  <si>
    <t>ЭКСКАВАТОРЫ НА ГУСЕНИЧНОМ ХОДУ ТИПА "ATLAS", "VOLVO", "KOMATSU", "HITACHI", "LIEBHER", HYUNDAI ROBEX С ЕМКОСТЬЮ КОВША 1,0 М3</t>
  </si>
  <si>
    <t>12,64</t>
  </si>
  <si>
    <t>3434,851744</t>
  </si>
  <si>
    <t>5.5</t>
  </si>
  <si>
    <t>32,609352</t>
  </si>
  <si>
    <t>E1-1-195-20 ШHК.ДОП.11</t>
  </si>
  <si>
    <t>РАЗРАБОТКА ГРУНТА В ОТВАЛ ЭКСКАВАТОРАМИ ТИПА "ATLAS", "VOLVO", "KOMATSU", "HITACHI", "LIEBHER", "HYUNDAI ROBEX" С КОВШОМ ВМЕСТИМОСТЬЮ 1,0 /1-1,24/ М3, ГРУППА ГРУНТОВ:2</t>
  </si>
  <si>
    <t>32,4319</t>
  </si>
  <si>
    <t>5,02</t>
  </si>
  <si>
    <t>162,808138</t>
  </si>
  <si>
    <t>21,18</t>
  </si>
  <si>
    <t>686,907642</t>
  </si>
  <si>
    <t>10,59</t>
  </si>
  <si>
    <t>343,453821</t>
  </si>
  <si>
    <t>378,155954</t>
  </si>
  <si>
    <t>30,7249</t>
  </si>
  <si>
    <t>5677,96152</t>
  </si>
  <si>
    <t>434791,36</t>
  </si>
  <si>
    <t>5603,15625632</t>
  </si>
  <si>
    <t>E1-1-15-2</t>
  </si>
  <si>
    <t>РЕМОНТ И СОДЕРЖАНИЕ ГРУНТОВЫХ ЗЕМЛЕВОЗНЫХ ДОРОГ НА КАЖДЫЕ 0,5 КМ ДЛИНЫ, ГРУППА ГРУНТОВ 2</t>
  </si>
  <si>
    <t>1,07</t>
  </si>
  <si>
    <t>290,766722</t>
  </si>
  <si>
    <t>E36-1-1-3 К=1,15 К=1,5 ТЕХ ЧАСТЬ-3.8</t>
  </si>
  <si>
    <t>ВОЗВЕДЕНИЕ ПЛОТИН, ДАМБ, НАСЫПЕЙ И НИЖНЕЙ ЧАСТИ ЭКРАНОВ И ЯДЕР НАСУХО ИЗ СВЯЗНЫХ ГРУНТОВ КАТКАМИ МАССОЙ ДО 16 Т</t>
  </si>
  <si>
    <t>4,67685</t>
  </si>
  <si>
    <t>35,742</t>
  </si>
  <si>
    <t>167,1599727</t>
  </si>
  <si>
    <t>42,1245</t>
  </si>
  <si>
    <t>197,009967825</t>
  </si>
  <si>
    <t>000251</t>
  </si>
  <si>
    <t>БУЛЬДОЗЕРЫ ПРИ РАБОТЕ НА ГИДРОЭНЕРГЕТИЧЕСКОМ СТРОИТЕЛЬСТВЕ И ГОРНОВСКРЫШНЫХ РАБОТАХ 79 (108) КВТ (Л.С.)</t>
  </si>
  <si>
    <t>16,8245</t>
  </si>
  <si>
    <t>78,685662825</t>
  </si>
  <si>
    <t>000509</t>
  </si>
  <si>
    <t>БОРОНЫ ДИСКОВЫЕ МЕЛИОРАТИВНЫЕ (БЕЗ ТРАКТОРА)</t>
  </si>
  <si>
    <t>1,3915</t>
  </si>
  <si>
    <t>6,507836775</t>
  </si>
  <si>
    <t>11.5</t>
  </si>
  <si>
    <t>000613</t>
  </si>
  <si>
    <t>КАТКИ ДОРОЖНЫЕ ПРИЦЕПНЫЕ КУЛАЧКОВЫЕ 8 Т</t>
  </si>
  <si>
    <t>23,4945</t>
  </si>
  <si>
    <t>109,880252325</t>
  </si>
  <si>
    <t>11.6</t>
  </si>
  <si>
    <t>000625</t>
  </si>
  <si>
    <t>КАТКИ ДОРОЖНЫЕ САМОХОДНЫЕ НА ПНЕВМОКОЛЕСНОМ ХОДУ 16 Т</t>
  </si>
  <si>
    <t>5,727</t>
  </si>
  <si>
    <t>26,78431995</t>
  </si>
  <si>
    <t>11.7</t>
  </si>
  <si>
    <t>000627</t>
  </si>
  <si>
    <t>КАТКИ ПОЛУПРИЦЕПНЫЕ НА ПНЕВМОКОЛЕСНОМ ХОДУ С ТЯГАЧОМ 15 Т</t>
  </si>
  <si>
    <t>6,64125</t>
  </si>
  <si>
    <t>31,0601300625</t>
  </si>
  <si>
    <t>11.8</t>
  </si>
  <si>
    <t>001834</t>
  </si>
  <si>
    <t>ТРАКТОРЫ НА ГУСЕНИЧНОМ ХОДУ ПРИ РАБОТЕ НА ДРУГИХ ВИДАХ СТРОИТЕЛЬСТВА (КРОМЕ ВОДОХОЗЯЙСТВЕННОГО) ДО 59 (80) КВТ (Л.С.)</t>
  </si>
  <si>
    <t>2,08725</t>
  </si>
  <si>
    <t>9,7617551625</t>
  </si>
  <si>
    <t>11.9</t>
  </si>
  <si>
    <t>001836</t>
  </si>
  <si>
    <t>ТРАКТОРЫ НА ГУСЕНИЧНОМ ХОДУ ПРИ РАБОТЕ НА ДРУГИХ ВИДАХ СТРОИТЕЛЬСТВА (КРОМЕ ВОДОХОЗЯЙСТВЕННОГО) 96 (130) КВТ (Л.С.)</t>
  </si>
  <si>
    <t>11.10</t>
  </si>
  <si>
    <t>100</t>
  </si>
  <si>
    <t>467,685</t>
  </si>
  <si>
    <t>E27-12-1-2</t>
  </si>
  <si>
    <t>УСТРОЙСТВО ВРЕМЕННЫХ ГРУНТОВЫХ ДОРОГ ПРОФИЛИРОВАННЫХ ПРИ РАБОТЕ В НУЛЕВЫХ ОТМЕТКАХ С ЗЕМЛЯНЫМ ПОЛОТНОМ ШИРИНОЙ 7,5 М, ДЛЯ КАТЕГОРИИ ГРУНТОВ 2</t>
  </si>
  <si>
    <t>КМ</t>
  </si>
  <si>
    <t>0,43</t>
  </si>
  <si>
    <t>91,7</t>
  </si>
  <si>
    <t>39,431</t>
  </si>
  <si>
    <t>49,7</t>
  </si>
  <si>
    <t>21,371</t>
  </si>
  <si>
    <t>12.3</t>
  </si>
  <si>
    <t>46,6</t>
  </si>
  <si>
    <t>20,038</t>
  </si>
  <si>
    <t>12.4</t>
  </si>
  <si>
    <t>1,15</t>
  </si>
  <si>
    <t>0,4945</t>
  </si>
  <si>
    <t>12.5</t>
  </si>
  <si>
    <t>2,55</t>
  </si>
  <si>
    <t>1,0965</t>
  </si>
  <si>
    <t>12.6</t>
  </si>
  <si>
    <t>001835</t>
  </si>
  <si>
    <t>ТРАКТОРЫ НА ГУСЕНИЧНОМ ХОДУ ПРИ РАБОТЕ НА ДРУГИХ ВИДАХ СТРОИТЕЛЬСТВА (КРОМЕ ВОДОХОЗЯЙСТВЕННОГО) 79 (108) КВТ (Л.С.)</t>
  </si>
  <si>
    <t>1,95</t>
  </si>
  <si>
    <t>0,8385</t>
  </si>
  <si>
    <t>12.7</t>
  </si>
  <si>
    <t>4,73</t>
  </si>
  <si>
    <t>E27-12-1-5 К=2</t>
  </si>
  <si>
    <t>НА КАЖДЫЙ 1 М ИЗМЕНЕНИЯ ШИРИНЫ ЗЕМЛЯНОГО ПОЛОТНА ДОБАВЛЯТЬ ИЛИ ИСКЛЮЧАТЬ К НОРМЕ 27-12-001-2 ЗА 2 PАЗА</t>
  </si>
  <si>
    <t>-0,43</t>
  </si>
  <si>
    <t>2,46</t>
  </si>
  <si>
    <t>-1,0578</t>
  </si>
  <si>
    <t>10,42</t>
  </si>
  <si>
    <t>-4,4806</t>
  </si>
  <si>
    <t>10,1</t>
  </si>
  <si>
    <t>-4,343</t>
  </si>
  <si>
    <t>-0,1376</t>
  </si>
  <si>
    <t>0,7</t>
  </si>
  <si>
    <t>-0,301</t>
  </si>
  <si>
    <t>E1-1-195-19 ШHК.ДОП.11</t>
  </si>
  <si>
    <t>РАЗРАБОТКА ГРУНТА В ОТВАЛ ЭКСКАВАТОРАМИ ТИПА "ATLAS", "VOLVO", "KOMATSU", "HITACHI", "LIEBHER", "HYUNDAI ROBEX" С КОВШОМ ВМЕСТИМОСТЬЮ 1,0 /1-1,24/ М3, ГРУППА ГРУНТОВ:1</t>
  </si>
  <si>
    <t>1,625</t>
  </si>
  <si>
    <t>14.1</t>
  </si>
  <si>
    <t>3,72</t>
  </si>
  <si>
    <t>6,045</t>
  </si>
  <si>
    <t>14.2</t>
  </si>
  <si>
    <t>15,7</t>
  </si>
  <si>
    <t>25,5125</t>
  </si>
  <si>
    <t>14.3</t>
  </si>
  <si>
    <t>7,85</t>
  </si>
  <si>
    <t>12,75625</t>
  </si>
  <si>
    <t>0,22</t>
  </si>
  <si>
    <t>20,174</t>
  </si>
  <si>
    <t>10,934</t>
  </si>
  <si>
    <t>10,252</t>
  </si>
  <si>
    <t>0,253</t>
  </si>
  <si>
    <t>0,561</t>
  </si>
  <si>
    <t>15.6</t>
  </si>
  <si>
    <t>0,429</t>
  </si>
  <si>
    <t>15.7</t>
  </si>
  <si>
    <t>2,42</t>
  </si>
  <si>
    <t>-0,22</t>
  </si>
  <si>
    <t>16.1</t>
  </si>
  <si>
    <t>-0,5412</t>
  </si>
  <si>
    <t>16.2</t>
  </si>
  <si>
    <t>-2,2924</t>
  </si>
  <si>
    <t>16.3</t>
  </si>
  <si>
    <t>-2,222</t>
  </si>
  <si>
    <t>16.4</t>
  </si>
  <si>
    <t>-0,0704</t>
  </si>
  <si>
    <t>16.5</t>
  </si>
  <si>
    <t>-0,154</t>
  </si>
  <si>
    <t>18,9475</t>
  </si>
  <si>
    <t>17.2</t>
  </si>
  <si>
    <t>ЛОКАЛЬНАЯ РЕСУРСНАЯ ВЕДОМОСТЬ № 2-1-2-ОГОЛОВОК КАТАСТРОФИЧЕСКОГО СБРОСА</t>
  </si>
  <si>
    <t>0,111</t>
  </si>
  <si>
    <t>92,574</t>
  </si>
  <si>
    <t>16,00731</t>
  </si>
  <si>
    <t>1.3</t>
  </si>
  <si>
    <t>1,776</t>
  </si>
  <si>
    <t>1.4</t>
  </si>
  <si>
    <t>0,3663</t>
  </si>
  <si>
    <t>1.5</t>
  </si>
  <si>
    <t>14,54877</t>
  </si>
  <si>
    <t>1.6</t>
  </si>
  <si>
    <t>1,09224</t>
  </si>
  <si>
    <t>1.7</t>
  </si>
  <si>
    <t>0,53724</t>
  </si>
  <si>
    <t>1.8</t>
  </si>
  <si>
    <t>0,006993</t>
  </si>
  <si>
    <t>1.9</t>
  </si>
  <si>
    <t>0,01332</t>
  </si>
  <si>
    <t>1.10</t>
  </si>
  <si>
    <t>0,000888</t>
  </si>
  <si>
    <t>1.11</t>
  </si>
  <si>
    <t>0,64269</t>
  </si>
  <si>
    <t>1.12</t>
  </si>
  <si>
    <t>0,02664</t>
  </si>
  <si>
    <t>1.13</t>
  </si>
  <si>
    <t>0,001998</t>
  </si>
  <si>
    <t>1.14</t>
  </si>
  <si>
    <t>0,07881</t>
  </si>
  <si>
    <t>1.15</t>
  </si>
  <si>
    <t>045066</t>
  </si>
  <si>
    <t>СБОРНЫЕ ЖЕЛЕЗОБЕТОННЫЕ КОЛЬЦА</t>
  </si>
  <si>
    <t>11,1</t>
  </si>
  <si>
    <t>748,8</t>
  </si>
  <si>
    <t>0,117</t>
  </si>
  <si>
    <t>2.3</t>
  </si>
  <si>
    <t>2.4</t>
  </si>
  <si>
    <t>204,75</t>
  </si>
  <si>
    <t>2.5</t>
  </si>
  <si>
    <t>25,35</t>
  </si>
  <si>
    <t>2.6</t>
  </si>
  <si>
    <t>0,005265</t>
  </si>
  <si>
    <t>2.7</t>
  </si>
  <si>
    <t>0,29835</t>
  </si>
  <si>
    <t>2,7</t>
  </si>
  <si>
    <t>73,224</t>
  </si>
  <si>
    <t>11,34</t>
  </si>
  <si>
    <t>10,935</t>
  </si>
  <si>
    <t>0,405</t>
  </si>
  <si>
    <t>13,23</t>
  </si>
  <si>
    <t>101</t>
  </si>
  <si>
    <t>С113-9103</t>
  </si>
  <si>
    <t>ТРУБЫ ДРЕНАЖНЫЕ ПОЛИЭТИЛЕНОВЫЕ НЕПЕРФОРИРОВАННЫЕ ДИАМЕТР 250Х16,3</t>
  </si>
  <si>
    <t>171,7</t>
  </si>
  <si>
    <t>3300</t>
  </si>
  <si>
    <t>22,9152</t>
  </si>
  <si>
    <t>1,3</t>
  </si>
  <si>
    <t>69,68</t>
  </si>
  <si>
    <t>0,208</t>
  </si>
  <si>
    <t>7.3</t>
  </si>
  <si>
    <t>0,39</t>
  </si>
  <si>
    <t>0,026</t>
  </si>
  <si>
    <t>0,15028</t>
  </si>
  <si>
    <t>8.2</t>
  </si>
  <si>
    <t>0,08034</t>
  </si>
  <si>
    <t>8.3</t>
  </si>
  <si>
    <t>0,00858</t>
  </si>
  <si>
    <t>8.4</t>
  </si>
  <si>
    <t>0,0468</t>
  </si>
  <si>
    <t>8.5</t>
  </si>
  <si>
    <t>0,05876</t>
  </si>
  <si>
    <t>8.6</t>
  </si>
  <si>
    <t>0,013</t>
  </si>
  <si>
    <t>8.7</t>
  </si>
  <si>
    <t>0,00832</t>
  </si>
  <si>
    <t>8.8</t>
  </si>
  <si>
    <t>0,01872</t>
  </si>
  <si>
    <t>0,403</t>
  </si>
  <si>
    <t>4,36046</t>
  </si>
  <si>
    <t>1,14452</t>
  </si>
  <si>
    <t>0,13299</t>
  </si>
  <si>
    <t>9.4</t>
  </si>
  <si>
    <t>1,68857</t>
  </si>
  <si>
    <t>9.5</t>
  </si>
  <si>
    <t>0,81003</t>
  </si>
  <si>
    <t>9.6</t>
  </si>
  <si>
    <t>0,2015</t>
  </si>
  <si>
    <t>9.7</t>
  </si>
  <si>
    <t>0,29822</t>
  </si>
  <si>
    <t>9.8</t>
  </si>
  <si>
    <t>0,12493</t>
  </si>
  <si>
    <t>0,098</t>
  </si>
  <si>
    <t>4,54034</t>
  </si>
  <si>
    <t>0,42924</t>
  </si>
  <si>
    <t>0,1715</t>
  </si>
  <si>
    <t>0,86436</t>
  </si>
  <si>
    <t>0,25774</t>
  </si>
  <si>
    <t>10.6</t>
  </si>
  <si>
    <t>10.7</t>
  </si>
  <si>
    <t>0,000686</t>
  </si>
  <si>
    <t>13,1</t>
  </si>
  <si>
    <t>ЛОКАЛЬНАЯ РЕСУРСНАЯ ВЕДОМОСТЬ № 2-1-3-ДРЕНАЖ</t>
  </si>
  <si>
    <t>Е101-6-2 ДОП. 3</t>
  </si>
  <si>
    <t>РАЗРАБОТКА ГРУНТА В ОТВАЛ В КОТЛОВАНАХ ОБЪЕМОМ ДО 500 М3, ЭКСКАВАТОРАМИ С КОВШОМ ВМЕСТИМОСТЬЮ 0,4 (0,35-0,45) М3, ГРУППА ГРУНТОВ: 2</t>
  </si>
  <si>
    <t>ЧЕЛ.-Ч</t>
  </si>
  <si>
    <t>2262</t>
  </si>
  <si>
    <t>ЭКСКАВАТОРЫ ОДНОКОВШОВЫЕ ДИЗЕЛЬНЫЕ НА ГУСЕНИЧНОМ ХОДУ ПРИ РАБОТЕ НА ДРУГИХ ВИДАХ СТРОИТЕЛЬСТВА (КРОМЕ ВОДОХОЗЯЙСТВЕННОГО) 0,4 М3</t>
  </si>
  <si>
    <t>МАШ.-Ч</t>
  </si>
  <si>
    <t>Е101-31-2 ТЧ П.3.31 КЭМ=1,06 ТЧ П.3.76 КЭМ=0,85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</si>
  <si>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МАШИН-1,06. РАНЕЕ РАЗРЫХЛЕННЫЕ ГРУНТЫ, ЗА ИСКЛЮЧЕНИЕМ ВЗОРВАННОЙ СКАЛЬНОЙ ПОРОДЫ, СЫПУЧИХ БАРХАННЫХ И ДЮННЫХ ПЕСКОВ, ПРИМЕНЕН КОЭФФИЦИЕНТ К НОРМАМ ЭКСПЛУАТАЦИИ МАШИН-0,85</t>
  </si>
  <si>
    <t>259</t>
  </si>
  <si>
    <t>Е101-31-10</t>
  </si>
  <si>
    <t>ПРИ ПЕРЕМЕЩЕНИИ ГРУНТА НА КАЖДЫЕ ПОСЛЕДУЮЩИЕ 10 М ДОБАВЛЯТЬ К НОРМЕ 01-01-031-2</t>
  </si>
  <si>
    <t>Е3001-24-1</t>
  </si>
  <si>
    <t>УСТРОЙСТВО ИЗ МОНОЛИТНОГО ЖЕЛЕЗОБЕТОНА ПОДФЕРМЕННЫХ ПЛОЩАДОК И ПРОКЛАДНЫХ РЯДОВ НА СУШЕ ,МОНОЛИТНЫЕ Ж/Б НАСАДКИ ИЗ В-25</t>
  </si>
  <si>
    <t>4.3</t>
  </si>
  <si>
    <t>403</t>
  </si>
  <si>
    <t>ВИБРАТОРЫ ГЛУБИННЫЕ</t>
  </si>
  <si>
    <t>4.4</t>
  </si>
  <si>
    <t>660</t>
  </si>
  <si>
    <t>4.5</t>
  </si>
  <si>
    <t>762</t>
  </si>
  <si>
    <t>4.6</t>
  </si>
  <si>
    <t>1297</t>
  </si>
  <si>
    <t>НАСОСЫ ДЛЯ НАГНЕТАНИЯ ВОДЫ, СОДЕРЖАЩЕЙ ТВЕРДЫЕ ЧАСТИЦЫ, ПОДАЧА 45 М3/Ч, НАПОР ДО 55 М</t>
  </si>
  <si>
    <t>4.7</t>
  </si>
  <si>
    <t>1556</t>
  </si>
  <si>
    <t>БЕНЗОПИЛЫ</t>
  </si>
  <si>
    <t>4.8</t>
  </si>
  <si>
    <t>2509</t>
  </si>
  <si>
    <t>4.9</t>
  </si>
  <si>
    <t>6366</t>
  </si>
  <si>
    <t>БЕТОН ТЯЖЕЛЫЙ КЛАССА В25 /М-350/ ФРАКЦИИ 5-20 ММ</t>
  </si>
  <si>
    <t>4.10</t>
  </si>
  <si>
    <t>23469</t>
  </si>
  <si>
    <t>4.11</t>
  </si>
  <si>
    <t>30407</t>
  </si>
  <si>
    <t>4.12</t>
  </si>
  <si>
    <t>32501</t>
  </si>
  <si>
    <t>ПОКОВКИ ИЗ КВАДРАТНЫХ ЗАГОТОВОК МАССОЙ 1,8 КГ</t>
  </si>
  <si>
    <t>4.13</t>
  </si>
  <si>
    <t>32672</t>
  </si>
  <si>
    <t>ПЛЕНКА ПОЛИЭТИЛЕНОВАЯ</t>
  </si>
  <si>
    <t>4.14</t>
  </si>
  <si>
    <t>34501</t>
  </si>
  <si>
    <t>ПОРТЛАНДЦЕМЕНТ ОБЩЕСТРОИТЕЛЬНОГО НАЗНАЧЕНИЯ БЕЗДОБАВОЧНЫЙ МАРКИ 400</t>
  </si>
  <si>
    <t>4.15</t>
  </si>
  <si>
    <t>35515</t>
  </si>
  <si>
    <t>ПОЛОТНО ИГЛОПРОБИВНОЕ ДЛЯ ДОРОЖНОГО СТРОИТЕЛЬСТВА "ДОРНИТ-2"</t>
  </si>
  <si>
    <t>4.16</t>
  </si>
  <si>
    <t>36008</t>
  </si>
  <si>
    <t>ЛЕСОМАТЕРИАЛЫ КРУГЛЫЕ ХВОЙНЫХ ПОРОД ДЛЯ СТРОИТЕЛЬСТВА ДИАМЕТРОМ 14-24 СМ, ДЛИНОЙ 3-6,5 М</t>
  </si>
  <si>
    <t>4.17</t>
  </si>
  <si>
    <t>36056</t>
  </si>
  <si>
    <t>ПИЛОМАТЕРИАЛЫ ХВОЙНЫХ ПОРОД. ДОСКИ ОБРЕЗНЫЕ ДЛИНОЙ 4-6,5 М, ШИРИНОЙ 75-150 ММ, ТОЛЩИНОЙ 32-40 ММ II СОРТА</t>
  </si>
  <si>
    <t>4.18</t>
  </si>
  <si>
    <t>36057</t>
  </si>
  <si>
    <t>ПИЛОМАТЕРИАЛЫ ХВОЙНЫХ ПОРОД. ДОСКИ ОБРЕЗНЫЕ ДЛИНОЙ 4-6,5 М, ШИРИНОЙ 75-150 ММ, ТОЛЩИНОЙ 32-40 ММ III СОРТА</t>
  </si>
  <si>
    <t>С124-3</t>
  </si>
  <si>
    <t>ГОРЯЧЕКАТАННАЯ АРМАТУРНАЯ СТАЛЬ ГЛАДКАЯ КЛАССА А-1, ДИАМЕТРОМ 10 ММ</t>
  </si>
  <si>
    <t>С124-21</t>
  </si>
  <si>
    <t>ГОРЯЧЕКАТАННАЯ АРМАТУРНАЯ СТАЛЬ ПЕРИОДИЧЕСКОГО ПРОФИЛЯ КЛАССА А-III ДИАМЕТРОМ 10 ММ</t>
  </si>
  <si>
    <t>Е0501-002-04</t>
  </si>
  <si>
    <t>ПОГРУЖЕНИЕ ДИЗЕЛЬ-МОЛОТОМ КОПРОВОЙ УСТАНОВКИ НА БАЗЕ ЭКСКАВАТОРА ЖЕЛЕЗОБЕТОННЫХ СВАЙ ДЛИНОЙ ДО 8 М В ГРУНТЫ ГРУППЫ: 2</t>
  </si>
  <si>
    <t>1 М3</t>
  </si>
  <si>
    <t>121</t>
  </si>
  <si>
    <t>АГРЕГАТЫ КОПРОВЫЕ БЕЗ ДИЗЕЛЬ-МОЛОТА НА БАЗЕ ЭКСКАВАТОРА 0,65 М3</t>
  </si>
  <si>
    <t>7.4</t>
  </si>
  <si>
    <t>506</t>
  </si>
  <si>
    <t>ДИЗЕЛЬ-МОЛОТЫ 2,5 Т</t>
  </si>
  <si>
    <t>7.5</t>
  </si>
  <si>
    <t>783</t>
  </si>
  <si>
    <t>7.6</t>
  </si>
  <si>
    <t>847</t>
  </si>
  <si>
    <t>КРАНЫ-ТРУБОУКЛАДЧИКИ ДЛЯ ТРУБ ДИАМЕТРОМ (ГРУЗОПОДЪЕМНОСТЬЮ) ДО 700 ММ (12,5 Т)</t>
  </si>
  <si>
    <t>7.7</t>
  </si>
  <si>
    <t>1904</t>
  </si>
  <si>
    <t>ТЯГАЧИ СЕДЕЛЬНЫЕ 12 Т</t>
  </si>
  <si>
    <t>7.8</t>
  </si>
  <si>
    <t>2639</t>
  </si>
  <si>
    <t>ПОЛУПРИЦЕПЫ ОБЩЕГО НАЗНАЧЕНИЯ 12 Т</t>
  </si>
  <si>
    <t>7.9</t>
  </si>
  <si>
    <t>7.10</t>
  </si>
  <si>
    <t>30956</t>
  </si>
  <si>
    <t>КРАСКИ МАСЛЯНЫЕ ЗЕМЛЯНЫЕ МА-0115 МУМИЯ, СУРИК ЖЕЛЕЗНЫЙ</t>
  </si>
  <si>
    <t>7.11</t>
  </si>
  <si>
    <t>41130</t>
  </si>
  <si>
    <t>ДОСКИ ДУБОВЫЕ II СОРТА</t>
  </si>
  <si>
    <t>7.12</t>
  </si>
  <si>
    <t>50774</t>
  </si>
  <si>
    <t>КОНСТРУКТИВНЫЕ ЭЛЕМЕНТЫ ВСПОМОГАТЕЛЬНОГО НАЗНАЧЕНИЯ МАССОЙ НЕ БОЛЕЕ 50 КГ С ПРЕОБЛАДАНИЕМ ТОЛСТОЛИСТОВОЙ СТАЛИ СОБИРАЕМЫЕ ИЗ ДВУХ И БОЛЕЕ ДЕТАЛЕЙ, С ОТВЕРСТИЯМИ И БЕЗ ОТВЕРСТИЙ, СОЕДИНЯЕМЫЕ НА СВАРКЕ</t>
  </si>
  <si>
    <t>СКАТ-СУРХАН. П30</t>
  </si>
  <si>
    <t>СВАИ ЖЕЛЕЗОБЕТОННЫЕ СМ8-35-1-Т3</t>
  </si>
  <si>
    <t>Е0501-010-02</t>
  </si>
  <si>
    <t>ВЫРУБКА БЕТОНА ИЗ АРМАТУРНОГО КАРКАСА ЖЕЛЕЗОБЕТОННЫХ СВАЙ ПЛОЩАДЬЮ СЕЧЕНИЯ: СВЫШЕ 0,1 М2</t>
  </si>
  <si>
    <t>1199</t>
  </si>
  <si>
    <t>2577</t>
  </si>
  <si>
    <t>АППАРАТЫ ДЛЯ ГАЗОВОЙ СВАРКИ И РЕЗКИ</t>
  </si>
  <si>
    <t>34241</t>
  </si>
  <si>
    <t>КИСЛОРОД ТЕХНИЧЕСКИЙ ГАЗООБРАЗНЫЙ</t>
  </si>
  <si>
    <t>34350</t>
  </si>
  <si>
    <t>АЦЕТИЛЕН ГАЗООБРАЗНЫЙ ТЕХНИЧЕСКИЙ</t>
  </si>
  <si>
    <t>Е0501-054-02 КН.1 ТЧ П.3.10</t>
  </si>
  <si>
    <t>БУРЕНИЕ СКВАЖИН ДИАМЕТРОМ 350 ММ ВРАЩАТЕЛЬНЫМ [РОТОРНЫМ] СПОСОБОМ В ГРУНТАХ И ПОРОДАХ ГРУППЫ: 2. РАСХОД БУРОВОГО ИНСТРУМЕНТА ДЛЯ СКВАЖИНЫ ДИАМЕТРОМ 301-350 ММ, ПРИМЕНЕН КОЭФФИЦИЕНТ К НОРМАМ РАСХОДА -1,36</t>
  </si>
  <si>
    <t>454</t>
  </si>
  <si>
    <t>ГЛИНОМЕШАЛКИ 4 М3</t>
  </si>
  <si>
    <t>1201</t>
  </si>
  <si>
    <t>КОМПЛЕКТЫ ДЛЯ БУРЕНИЯ СКВАЖИН ПОД БУРОНАБИВНЫЕ СВАИ ГЛУБИНОЙ ДО 50 М РОТОРНОГО БУРЕНИЯ</t>
  </si>
  <si>
    <t>1232</t>
  </si>
  <si>
    <t>НАСОСЫ ГРЯЗЕВЫЕ ПОДАЧА 15 М3/Ч, НАПОР 50 М</t>
  </si>
  <si>
    <t>1238</t>
  </si>
  <si>
    <t>НАСОСЫ ЦЕНТРОБЕЖНЫЕ САМОВСАСЫВАЮЩИЕ ПРОИЗВОДИТЕЛЬНОСТЬ 25 М3/Ч, НАПОР 150 М</t>
  </si>
  <si>
    <t>2499</t>
  </si>
  <si>
    <t>10.8</t>
  </si>
  <si>
    <t>10.9</t>
  </si>
  <si>
    <t>37570</t>
  </si>
  <si>
    <t>ТРУБЫ БЕСШОВНЫЕ ОБСАДНЫЕ ИЗ СТАЛИ ГРУППЫ Д И Б С КОРОТКОЙ ТРЕУГОЛЬНОЙ РЕЗЬБОЙ НАРУЖНЫЙ ДИАМЕТР 351 ММ ТОЛЩИНА СТЕНКИ 10 ММ</t>
  </si>
  <si>
    <t>СКАТ-</t>
  </si>
  <si>
    <t>ДОЛОТО Д 350ММ</t>
  </si>
  <si>
    <t>С119-12</t>
  </si>
  <si>
    <t>ГЛИНА БЕНТОНИТОВАЯ МАРКИ ПБМГ</t>
  </si>
  <si>
    <t>ПРОМЕЖУТОЧНЫЕ ОПОРЫ</t>
  </si>
  <si>
    <t>13.6</t>
  </si>
  <si>
    <t>13.7</t>
  </si>
  <si>
    <t>13.8</t>
  </si>
  <si>
    <t>13.9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</si>
  <si>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</si>
  <si>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</si>
  <si>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</si>
  <si>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</si>
  <si>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</si>
  <si>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</si>
  <si>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</si>
  <si>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</si>
  <si>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</si>
  <si>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Е0501-002-08</t>
  </si>
  <si>
    <t>ПОГРУЖЕНИЕ ДИЗЕЛЬ-МОЛОТОМ КОПРОВОЙ УСТАНОВКИ НА БАЗЕ ЭКСКАВАТОРА ЖЕЛЕЗОБЕТОННЫХ СВАЙ ДЛИНОЙ ДО 16 М В ГРУНТЫ ГРУППЫ: 2</t>
  </si>
  <si>
    <t>124</t>
  </si>
  <si>
    <t>АГРЕГАТЫ КОПРОВЫЕ БЕЗ ДИЗЕЛЬ-МОЛОТА НА БАЗЕ ЭКСКАВАТОРА 1,25 М3</t>
  </si>
  <si>
    <t>507</t>
  </si>
  <si>
    <t>ДИЗЕЛЬ-МОЛОТЫ 3,5 Т</t>
  </si>
  <si>
    <t>16.6</t>
  </si>
  <si>
    <t>849</t>
  </si>
  <si>
    <t>КРАНЫ-ТРУБОУКЛАДЧИКИ ДЛЯ ТРУБ ДИАМЕТРОМ (ГРУЗОПОДЪЕМНОСТЬЮ) 1200 ММ (50 Т)</t>
  </si>
  <si>
    <t>16.7</t>
  </si>
  <si>
    <t>16.8</t>
  </si>
  <si>
    <t>16.9</t>
  </si>
  <si>
    <t>16.10</t>
  </si>
  <si>
    <t>16.11</t>
  </si>
  <si>
    <t>16.12</t>
  </si>
  <si>
    <t>СКАТ-СУРХАН.П37</t>
  </si>
  <si>
    <t>СВАИ ЖЕЛЕЗОБЕТОННЫЕ СМ14-35-1-Т3</t>
  </si>
  <si>
    <t>Е0501-053-02 КН.1 ТЧ П.3.10</t>
  </si>
  <si>
    <t>БУРЕНИЕ СКВАЖИН ДИАМЕТРОМ 300 ММ ВРАЩАТЕЛЬНЫМ [РОТОРНЫМ] СПОСОБОМ В ГРУНТАХ И ПОРОДАХ ГРУППЫ: 2. РАСХОД БУРОВОГО ИНСТРУМЕНТА ДЛЯ СКВАЖИНЫ ДИАМЕТРОМ 251-300 ММ, ПРИМЕНЕН КОЭФФИЦИЕНТ К НОРМАМ РАСХОДА -1,22</t>
  </si>
  <si>
    <t>18.8</t>
  </si>
  <si>
    <t>18.9</t>
  </si>
  <si>
    <t>37560</t>
  </si>
  <si>
    <t>ТРУБЫ БЕСШОВНЫЕ ОБСАДНЫЕ ИЗ СТАЛИ ГРУППЫ Д И Б С КОРОТКОЙ ТРЕУГОЛЬНОЙ РЕЗЬБОЙ НАРУЖНЫЙ ДИАМЕТР 324 ММ ТОЛЩИНА СТЕНКИ 11 ММ</t>
  </si>
  <si>
    <t>ДОЛОТО Д 300ММ</t>
  </si>
  <si>
    <t>ПРОЛЕТНЫЕ СТРОЕНИЕ И ПРОЕЗЖАЯ ЧАСТЬ</t>
  </si>
  <si>
    <t>Е3002-2-1</t>
  </si>
  <si>
    <t>УСТАНОВКА ОПОРНЫХ ЧАСТЕЙ ПРОЛЕТНЫХ СТРОЕНИЙ МОСТОВ ИЗ ПОЛИМЕРНЫХ МАТЕРИАЛОВ, РЕЗИНЫ И ФТОРОПЛАСТА</t>
  </si>
  <si>
    <t>ОПОРНАЯ</t>
  </si>
  <si>
    <t>22454</t>
  </si>
  <si>
    <t>РАСТВОР ГОТОВЫЙ КЛАДОЧНЫЙ ЦЕМЕНТНЫЙ, МАРКА: 150</t>
  </si>
  <si>
    <t>СКАТ-НАМАНГАН-</t>
  </si>
  <si>
    <t>РЕЗИНОВЫЕ ОПОРНЫЕ ЧАСТИ РОЧ15Х35Х4</t>
  </si>
  <si>
    <t>Е3002-015-01</t>
  </si>
  <si>
    <t>УСТАНОВКА НА ОПОРЫ ПРОЛЕТНЫХ СТРОЕНИЙ АВТОДОРОЖНЫХ МОСТОВ ДЛИНОЙ ДО 9 М</t>
  </si>
  <si>
    <t>БАЛКА</t>
  </si>
  <si>
    <t>23.3</t>
  </si>
  <si>
    <t>521</t>
  </si>
  <si>
    <t>23.4</t>
  </si>
  <si>
    <t>808</t>
  </si>
  <si>
    <t>КРАНЫ НА ПНЕВМОКОЛЕСНОМ ХОДУ ПРИ РАБОТЕ НА ДРУГИХ ВИДАХ СТРОИТЕЛЬСТВА (КРОМЕ МАГИСТРАЛЬНЫХ ТРУБОПРОВОДОВ) 25 Т</t>
  </si>
  <si>
    <t>23.5</t>
  </si>
  <si>
    <t>23.6</t>
  </si>
  <si>
    <t>30322</t>
  </si>
  <si>
    <t>БОЛТЫ СТРОИТЕЛЬНЫЕ С ГАЙКАМИ И ШАЙБАМИ</t>
  </si>
  <si>
    <t>23.7</t>
  </si>
  <si>
    <t>23.8</t>
  </si>
  <si>
    <t>36029</t>
  </si>
  <si>
    <t>БРУСКИ ОБРЕЗНЫЕ ХВОЙНЫХ ПОРОД ДЛИНОЙ 4-6,5 М, ШИРИНОЙ 75-150 ММ, ТОЛЩИНОЙ 100, 125 ММ, III СОРТА</t>
  </si>
  <si>
    <t>23.9</t>
  </si>
  <si>
    <t>23.10</t>
  </si>
  <si>
    <t>50799</t>
  </si>
  <si>
    <t>ПРОЧИЕ ИНДИВИДУАЛЬНЫЕ СВАРНЫЕ КОНСТРУКЦИИ, МАССА СБОРОЧНОЙ ЕДИНИЦЫ ОТ 0.1 ДО 0.5 Т</t>
  </si>
  <si>
    <t>СКАТ-СУРХАН.</t>
  </si>
  <si>
    <t>СБОРНЫЕ Ж/БЕТОННЫЕ БАЛКИ ПС-6.99.30</t>
  </si>
  <si>
    <t>Е3002-015-02</t>
  </si>
  <si>
    <t>УСТАНОВКА НА ОПОРЫ ПРОЛЕТНЫХ СТРОЕНИЙ АВТОДОРОЖНЫХ МОСТОВ ДЛИНОЙ ДО 15 М</t>
  </si>
  <si>
    <t>809</t>
  </si>
  <si>
    <t>КРАНЫ НА ПНЕВМОКОЛЕСНОМ ХОДУ ПРИ РАБОТЕ НА ДРУГИХ ВИДАХ СТРОИТЕЛЬСТВА (КРОМЕ МАГИСТРАЛЬНЫХ ТРУБОПРОВОДОВ) 40 Т</t>
  </si>
  <si>
    <t>СКАТ-СУРХАН П3</t>
  </si>
  <si>
    <t>СБОРНЫЕ Ж/БЕТОННЫЕ БАЛКИ П-12</t>
  </si>
  <si>
    <t>Е4601-8-2</t>
  </si>
  <si>
    <t>ОБЕТОНИРОВАНИЕ БАЛОК И ПРОГОНОВ ОМОНОЛИЧИВАНИЕ ПЛИТ ПРОЛЕТНОГО СТРОЕНИЯ</t>
  </si>
  <si>
    <t>27.1</t>
  </si>
  <si>
    <t>27.2</t>
  </si>
  <si>
    <t>27.3</t>
  </si>
  <si>
    <t>27.4</t>
  </si>
  <si>
    <t>1147</t>
  </si>
  <si>
    <t>МАШИНЫ ШЛИФОВАЛЬНЫЕ ЭЛЕКТРИЧЕСКИЕ</t>
  </si>
  <si>
    <t>27.5</t>
  </si>
  <si>
    <t>27.6</t>
  </si>
  <si>
    <t>3281</t>
  </si>
  <si>
    <t>ВИБРАТОРЫ ПОВЕРХНОСТНЫЕ (БЕЗ СТОИМОСТИ ЭЛЕКТРОЭНЕРГИИ)</t>
  </si>
  <si>
    <t>27.7</t>
  </si>
  <si>
    <t>9219</t>
  </si>
  <si>
    <t>27.8</t>
  </si>
  <si>
    <t>12120</t>
  </si>
  <si>
    <t>РАСТВОР ГОТОВЫЙ КЛАДОЧНЫЙ ТЯЖЕЛЫЙ ЦЕМЕНТНО-ИЗВЕСТКОВЫЙ, МАРКА: 25</t>
  </si>
  <si>
    <t>27.9</t>
  </si>
  <si>
    <t>22012</t>
  </si>
  <si>
    <t>БЕТОН ТЯЖЕЛЫЙ, КЛАСС В 35 (М450)</t>
  </si>
  <si>
    <t>27.10</t>
  </si>
  <si>
    <t>27.11</t>
  </si>
  <si>
    <t>30652</t>
  </si>
  <si>
    <t>ИЗВЕСТЬ СТРОИТЕЛЬНАЯ НЕГАШЕНАЯ КОМОВАЯ, СОРТ 1</t>
  </si>
  <si>
    <t>27.12</t>
  </si>
  <si>
    <t>32524</t>
  </si>
  <si>
    <t>КАТАНКА ГОРЯЧЕКАТАНАЯ В МОТКАХ ДИАМЕТРОМ 6,3-6,5 ММ</t>
  </si>
  <si>
    <t>27.13</t>
  </si>
  <si>
    <t>27.14</t>
  </si>
  <si>
    <t>36060</t>
  </si>
  <si>
    <t>ДОСКИ ОБРЕЗНЫЕ ХВОЙНЫХ ПОРОД ДЛИНОЙ 4-6,5 М, ШИРИНОЙ 75-150 ММ, ТОЛЩИНОЙ 44 ММ И БОЛЕЕ, II СОРТА</t>
  </si>
  <si>
    <t>27.15</t>
  </si>
  <si>
    <t>44897</t>
  </si>
  <si>
    <t>ШЛИФКРУГИ</t>
  </si>
  <si>
    <t>27.16</t>
  </si>
  <si>
    <t>44910</t>
  </si>
  <si>
    <t>Е3008-018-01</t>
  </si>
  <si>
    <t>УСТРОЙСТВО ТРОТУАРОВ НА МОСТАХ И ПУТЕПРОВОДАХ ПОД АВТОМОБИЛЬНЫЕ ДОРОГИ</t>
  </si>
  <si>
    <t>28.1</t>
  </si>
  <si>
    <t>28.2</t>
  </si>
  <si>
    <t>28.3</t>
  </si>
  <si>
    <t>28.4</t>
  </si>
  <si>
    <t>2016</t>
  </si>
  <si>
    <t>28.5</t>
  </si>
  <si>
    <t>28.6</t>
  </si>
  <si>
    <t>28.7</t>
  </si>
  <si>
    <t>31650</t>
  </si>
  <si>
    <t>ОЛИФА КОМБИНИРОВАННАЯ К-2</t>
  </si>
  <si>
    <t>28.8</t>
  </si>
  <si>
    <t>32103</t>
  </si>
  <si>
    <t>МАСТИКА БИТУМНО-БУТИЛКАУЧУКОВАЯ ХОЛОДНАЯ</t>
  </si>
  <si>
    <t>28.9</t>
  </si>
  <si>
    <t>32721</t>
  </si>
  <si>
    <t>РЕЗИНА ПРЕССОВАННАЯ</t>
  </si>
  <si>
    <t>28.10</t>
  </si>
  <si>
    <t>33513</t>
  </si>
  <si>
    <t>СОРТОВОЙ И ФАСОННЫЙ ГОРЯЧЕКАТАНЫЙ ПРОКАТ ИЗ СТАЛИ УГЛЕРОДИСТОЙ ОБЫКНОВЕННОГО КАЧЕСТВА УГЛОВОЙ НЕРАВНОПОЛОЧНЫЙ, ТОЛЩИНОЙ 10-16 ММ, ПРИ ШИРИНЕ БОЛЬШЕЙ ПОЛКИ 180-200 ММ СТАЛЬ МАРКИ СТ0</t>
  </si>
  <si>
    <t>28.11</t>
  </si>
  <si>
    <t>34232</t>
  </si>
  <si>
    <t>ЖИДКОСТЬ ГИДРОФОБИЗИРУЮЩАЯ 136-41 (Б. ЖИДКОСТЬ ГКЖ-94)</t>
  </si>
  <si>
    <t>28.12</t>
  </si>
  <si>
    <t>35310</t>
  </si>
  <si>
    <t>28.13</t>
  </si>
  <si>
    <t>36058</t>
  </si>
  <si>
    <t>ПИЛОМАТЕРИАЛЫ ХВОЙНЫХ ПОРОД. ДОСКИ ОБРЕЗНЫЕ ДЛИНОЙ 4-6,5 М, ШИРИНОЙ 75-150 ММ, ТОЛЩИНОЙ 32-40 ММ IV СОРТА</t>
  </si>
  <si>
    <t>28.14</t>
  </si>
  <si>
    <t>39871</t>
  </si>
  <si>
    <t>СТАЛЬ ПОЛОСОВАЯ 40Х4 ММ</t>
  </si>
  <si>
    <t>СКАТ-СУРХАН.П15</t>
  </si>
  <si>
    <t>Ж/Б ТРОТУАРНЫЕ БЛОКИ ПТМ-3.68.8</t>
  </si>
  <si>
    <t>Е4201-19-2</t>
  </si>
  <si>
    <t>УСТАНОВКА ПАРАПЕТОВ МАССИВНЫХ МАССОЙ ДО 3 Т (КОЛЕСООТБОЙНЫЙ Б/БРУС)</t>
  </si>
  <si>
    <t>30.1</t>
  </si>
  <si>
    <t>30.2</t>
  </si>
  <si>
    <t>30.3</t>
  </si>
  <si>
    <t>128</t>
  </si>
  <si>
    <t>АГРЕГАТЫ СВАРОЧНЫЕ ПЕРЕДВИЖНЫЕ С НОМИНАЛЬНЫМ СВАРОЧНЫМ ТОКОМ 250-400 А С ДИЗЕЛЬНЫМ ДВИГАТЕЛЕМ</t>
  </si>
  <si>
    <t>30.4</t>
  </si>
  <si>
    <t>30.5</t>
  </si>
  <si>
    <t>30.6</t>
  </si>
  <si>
    <t>30.7</t>
  </si>
  <si>
    <t>30.8</t>
  </si>
  <si>
    <t>12217</t>
  </si>
  <si>
    <t>РАСТВОР ГОТОВЫЙ ОТДЕЛОЧНЫЙ ТЯЖЕЛЫЙ, ЦЕМЕНТНЫЙ: 1:3</t>
  </si>
  <si>
    <t>30.9</t>
  </si>
  <si>
    <t>30.10</t>
  </si>
  <si>
    <t>30.11</t>
  </si>
  <si>
    <t>45077</t>
  </si>
  <si>
    <t>ПРОПАН-БУТАН, СМЕСЬ ТЕХНИЧЕСКАЯ</t>
  </si>
  <si>
    <t>СКАТ-СУРХАН.П17</t>
  </si>
  <si>
    <t>БРУС КОЛЕСООТБОЙНЫЙ БК3.75</t>
  </si>
  <si>
    <t>ОБЕТОНИРОВАНИЕ БАЛОК И ПРОГОНОВ(ОМОНОЛИЧИВАНИЕ БЛОКОВ ПТМ3.68 С БЛОКАМИ БК-3.75 БЕТОНОМ)</t>
  </si>
  <si>
    <t>32.8</t>
  </si>
  <si>
    <t>32.9</t>
  </si>
  <si>
    <t>32.10</t>
  </si>
  <si>
    <t>32.11</t>
  </si>
  <si>
    <t>32.12</t>
  </si>
  <si>
    <t>32.13</t>
  </si>
  <si>
    <t>32.14</t>
  </si>
  <si>
    <t>32.15</t>
  </si>
  <si>
    <t>32.16</t>
  </si>
  <si>
    <t>ОБЕТОНИРОВАНИЕ БАЛОК И ПРОГОНОВ(ОМОНОЛИЧИВАНИЕ БЛОКОВ БК-3.75 С ПРОЕЗЖЕЙ ЧАСТЬЮ)</t>
  </si>
  <si>
    <t>34.9</t>
  </si>
  <si>
    <t>34.10</t>
  </si>
  <si>
    <t>34.11</t>
  </si>
  <si>
    <t>34.12</t>
  </si>
  <si>
    <t>34.13</t>
  </si>
  <si>
    <t>34.14</t>
  </si>
  <si>
    <t>34.15</t>
  </si>
  <si>
    <t>34.16</t>
  </si>
  <si>
    <t>36</t>
  </si>
  <si>
    <t>Е3008-001-01</t>
  </si>
  <si>
    <t>УСТАНОВКА СТАЛЬНЫХ СВАРНЫХ ПЕРИЛ НА МОСТАХ И ПУТЕПРОВОДАХ</t>
  </si>
  <si>
    <t>36.1</t>
  </si>
  <si>
    <t>36.2</t>
  </si>
  <si>
    <t>36.3</t>
  </si>
  <si>
    <t>969</t>
  </si>
  <si>
    <t>ЛЕБЕДКИ РУЧНЫЕ И РЫЧАЖНЫЕ, ТЯГОВЫМ УСИЛИЕМ 31,39 (3,2) КН (Т)</t>
  </si>
  <si>
    <t>36.4</t>
  </si>
  <si>
    <t>36.5</t>
  </si>
  <si>
    <t>36.6</t>
  </si>
  <si>
    <t>36.7</t>
  </si>
  <si>
    <t>36.8</t>
  </si>
  <si>
    <t>36.9</t>
  </si>
  <si>
    <t>36.10</t>
  </si>
  <si>
    <t>36.11</t>
  </si>
  <si>
    <t>50785</t>
  </si>
  <si>
    <t>КОНСТРУКЦИИ СТАЛЬНЫЕ: ПЕРИЛ</t>
  </si>
  <si>
    <t>37</t>
  </si>
  <si>
    <t>Е3008-25-1</t>
  </si>
  <si>
    <t>УСТРОЙСТВО ВОДООТВОДА И ГИДРОИЗОЛЯЦИИ ПРОЕЗЖЕЙ ЧАСТИ НА МОСТАХ ПОД АВТОМОБИЛЬНЫЕ ДОРОГИ СТЕКЛОТКАНЬЮ НА БИТУМНОЙ МАСТИКЕ С УСТРОЙСТВОМ ЗАЩИТНОГО СЛОЯ(ВЫРАВН. СЛОЙ 3СМ И ЗАЩ СЛОЙ 4СМ ИЗ БЕТОНА)</t>
  </si>
  <si>
    <t>37.1</t>
  </si>
  <si>
    <t>37.2</t>
  </si>
  <si>
    <t>37.3</t>
  </si>
  <si>
    <t>404</t>
  </si>
  <si>
    <t>37.4</t>
  </si>
  <si>
    <t>663</t>
  </si>
  <si>
    <t>КОМПРЕССОРЫ ПЕРЕДВИЖНЫЕ С ДВИГАТЕЛЕМ ВНУТРЕННЕГО СГОРАНИЯ ДАВЛЕНИЕМ 800 КПА (8 АТМ.) 10 М3/МИН</t>
  </si>
  <si>
    <t>37.5</t>
  </si>
  <si>
    <t>37.6</t>
  </si>
  <si>
    <t>37.7</t>
  </si>
  <si>
    <t>913</t>
  </si>
  <si>
    <t>37.8</t>
  </si>
  <si>
    <t>37.9</t>
  </si>
  <si>
    <t>37.10</t>
  </si>
  <si>
    <t>37.11</t>
  </si>
  <si>
    <t>30002</t>
  </si>
  <si>
    <t>АСБЕСТ-НАПОЛНИТЕЛЬ</t>
  </si>
  <si>
    <t>37.12</t>
  </si>
  <si>
    <t>30127</t>
  </si>
  <si>
    <t>БИТУМЫ НЕФТЯНЫЕ СТРОИТЕЛЬНЫЕ ДЛЯ КРОВЕЛЬНЫХ МАСТИК, МАРКИ БНМ-75/35</t>
  </si>
  <si>
    <t>37.13</t>
  </si>
  <si>
    <t>31248</t>
  </si>
  <si>
    <t>ЛАК БИТУМНЫЙ БТ-123</t>
  </si>
  <si>
    <t>37.14</t>
  </si>
  <si>
    <t>31519</t>
  </si>
  <si>
    <t>37.15</t>
  </si>
  <si>
    <t>32124</t>
  </si>
  <si>
    <t>МАСТИКА КЛЕЯЩАЯ МОРОЗОСТОЙКАЯ БИТУМНО-МАСЛЯНАЯ МБ-50</t>
  </si>
  <si>
    <t>37.16</t>
  </si>
  <si>
    <t>32204</t>
  </si>
  <si>
    <t>МАСЛО ИНДУСТРИАЛЬНОЕ И-20А</t>
  </si>
  <si>
    <t>37.17</t>
  </si>
  <si>
    <t>37.18</t>
  </si>
  <si>
    <t>34006</t>
  </si>
  <si>
    <t>ТОПЛИВО ДИЗЕЛЬНОЕ</t>
  </si>
  <si>
    <t>37.19</t>
  </si>
  <si>
    <t>37.20</t>
  </si>
  <si>
    <t>40877</t>
  </si>
  <si>
    <t>ТКАНЬ СТЕКЛЯННАЯ А-1 ДЛЯ ГИДРОИЗОЛЯЦИИ ПРОЕЗЖЕЙ ЧАСТИ МОСТОВ</t>
  </si>
  <si>
    <t>100 М2</t>
  </si>
  <si>
    <t>37.21</t>
  </si>
  <si>
    <t>40878</t>
  </si>
  <si>
    <t>ТРУБКИ ВОДООТВОДНЫЕ ЧУГУННЫЕ ДЛЯ СТОКА ВОДЫ НА МОСТАХ</t>
  </si>
  <si>
    <t>37.22</t>
  </si>
  <si>
    <t>43111</t>
  </si>
  <si>
    <t>ПЕСОК</t>
  </si>
  <si>
    <t>37.23</t>
  </si>
  <si>
    <t>44527</t>
  </si>
  <si>
    <t>СЕТКА СВАРНАЯ ИЗ ХОЛОДНОТЯНУТОЙ ПРОВОЛОКИ 5 ММ</t>
  </si>
  <si>
    <t>38</t>
  </si>
  <si>
    <t>Е2706-020-01</t>
  </si>
  <si>
    <t>УСТРОЙСТВО ПОКРЫТИЯ ТОЛЩИНОЙ 4 СМ ИЗ ГОРЯЧИХ АСФАЛЬТОБЕТОННЫХ СМЕСЕЙ ПЛОТНЫХ МЕЛКОЗЕРНИСТЫХ ТИПА АБВ, ПЛОТНОСТЬ КАМЕННЫХ МАТЕРИАЛОВ 2,5-2,9 Т/М3</t>
  </si>
  <si>
    <t>38.1</t>
  </si>
  <si>
    <t>38.2</t>
  </si>
  <si>
    <t>38.3</t>
  </si>
  <si>
    <t>464</t>
  </si>
  <si>
    <t>ГУДРОНАТОРЫ РУЧНЫЕ</t>
  </si>
  <si>
    <t>38.4</t>
  </si>
  <si>
    <t>621</t>
  </si>
  <si>
    <t>КАТКИ ДОРОЖНЫЕ САМОХОДНЫЕ ГЛАДКИЕ 8 Т</t>
  </si>
  <si>
    <t>38.5</t>
  </si>
  <si>
    <t>623</t>
  </si>
  <si>
    <t>КАТКИ ДОРОЖНЫЕ САМОХОДНЫЕ ГЛАДКИЕ 13 Т</t>
  </si>
  <si>
    <t>38.6</t>
  </si>
  <si>
    <t>38.7</t>
  </si>
  <si>
    <t>1135</t>
  </si>
  <si>
    <t>МАШИНЫ ПОЛИВОМОЕЧНЫЕ 6000 Л</t>
  </si>
  <si>
    <t>38.8</t>
  </si>
  <si>
    <t>1955</t>
  </si>
  <si>
    <t>УКЛАДЧИКИ АСФАЛЬТОБЕТОНА</t>
  </si>
  <si>
    <t>38.9</t>
  </si>
  <si>
    <t>38.10</t>
  </si>
  <si>
    <t>6001</t>
  </si>
  <si>
    <t>АСФАЛЬТОБЕТОННАЯ СМЕСЬ МЕЛКОЗЕРНИСТАЯ ТИП А М-2</t>
  </si>
  <si>
    <t>38.11</t>
  </si>
  <si>
    <t>30135</t>
  </si>
  <si>
    <t>БИТУМ</t>
  </si>
  <si>
    <t>38.12</t>
  </si>
  <si>
    <t>38.13</t>
  </si>
  <si>
    <t>36025</t>
  </si>
  <si>
    <t>БРУСКИ ОБРЕЗНЫЕ ХВОЙНЫХ ПОРОД ДЛИНОЙ 4-6,5 М, ШИРИНОЙ 75-150 ММ, ТОЛЩИНОЙ 40-75 ММ, III СОРТА</t>
  </si>
  <si>
    <t>39</t>
  </si>
  <si>
    <t>Е2706-021-01 К=6</t>
  </si>
  <si>
    <t>ПРИ ИЗМЕНЕНИИ ТОЛЩИНЫ ПОКРЫТИЯ НА 0,5 СМ ДОБАВЛЯТЬ К НОРМЕ 27-06-020-1</t>
  </si>
  <si>
    <t>39.1</t>
  </si>
  <si>
    <t>39.2</t>
  </si>
  <si>
    <t>39.3</t>
  </si>
  <si>
    <t>39.4</t>
  </si>
  <si>
    <t>40</t>
  </si>
  <si>
    <t>Е1504-30-4</t>
  </si>
  <si>
    <t>МАСЛЯНАЯ ОКРАСКА МЕТАЛЛИЧЕСКИХ ПОВЕРХНОСТЕЙ РЕШЕТОК, ПЕРЕПЛЕТОВ, ТРУБ ДИАМЕТРОМ МЕНЕЕ 50 ММ И Т.П., КОЛИЧЕСТВО ОКРАСОК 2 (ОКРАСКА КОЛЕСООТБОЕВ)</t>
  </si>
  <si>
    <t>40.1</t>
  </si>
  <si>
    <t>40.2</t>
  </si>
  <si>
    <t>40.3</t>
  </si>
  <si>
    <t>1522</t>
  </si>
  <si>
    <t>ПОДЪЕМНИКИ МАЧТОВЫЕ СТРОИТЕЛЬНЫЕ 0,5 Т</t>
  </si>
  <si>
    <t>40.4</t>
  </si>
  <si>
    <t>40.5</t>
  </si>
  <si>
    <t>31392</t>
  </si>
  <si>
    <t>ОЛИФА НАТУРАЛЬНАЯ</t>
  </si>
  <si>
    <t>40.6</t>
  </si>
  <si>
    <t>43231</t>
  </si>
  <si>
    <t>КРАСКИ МАСЛЯНЫЕ ГОТОВЫЕ К ПРИМЕНЕНИЮ ДЛЯ ВНУТРЕННИХ РАБОТ</t>
  </si>
  <si>
    <t>40.7</t>
  </si>
  <si>
    <t>44059</t>
  </si>
  <si>
    <t>ДЕФОРМАЦИОННЫЕ ШВЫ</t>
  </si>
  <si>
    <t>41</t>
  </si>
  <si>
    <t>Е3008-030-01</t>
  </si>
  <si>
    <t>УСТРОЙСТВО ЗАПОЛНЕННОГО ДЕФОРМАЦИОННОГО ШВА СОПРЯЖЕНИЯ ПРОЛЕТНЫХ СТРОЕНИЙ МОСТОВ НА АВТОМОБИЛЬНЫХ ДОРОГАХ БЕЗ ОКАЙМЛЕНИЯ</t>
  </si>
  <si>
    <t>41.1</t>
  </si>
  <si>
    <t>41.2</t>
  </si>
  <si>
    <t>41.3</t>
  </si>
  <si>
    <t>551</t>
  </si>
  <si>
    <t>ЗАЛИВЩИКИ ШВОВ НА БАЗЕ АВТОМОБИЛЯ</t>
  </si>
  <si>
    <t>41.4</t>
  </si>
  <si>
    <t>41.5</t>
  </si>
  <si>
    <t>41.6</t>
  </si>
  <si>
    <t>41.7</t>
  </si>
  <si>
    <t>41.8</t>
  </si>
  <si>
    <t>41.9</t>
  </si>
  <si>
    <t>41.10</t>
  </si>
  <si>
    <t>41.11</t>
  </si>
  <si>
    <t>30503</t>
  </si>
  <si>
    <t>ГЕРМЕТИК МАРКИ 51-Г-10</t>
  </si>
  <si>
    <t>41.12</t>
  </si>
  <si>
    <t>41.13</t>
  </si>
  <si>
    <t>41.14</t>
  </si>
  <si>
    <t>41.15</t>
  </si>
  <si>
    <t>34209</t>
  </si>
  <si>
    <t>АЦЕТОН ТЕХНИЧЕСКИЙ СОРТ I</t>
  </si>
  <si>
    <t>41.16</t>
  </si>
  <si>
    <t>36182</t>
  </si>
  <si>
    <t>ПИЛОМАТЕРИАЛЫ БЕРЕЗОВЫЕ И МЯГКИХ ЛИСТВЕННЫХ ПОРОД: БЕРЕЗА, ЛИПА. ДОСКИ ОБРЕЗНЫЕ ДЛИНОЙ 2-3,75 М, ВСЕ ШИРИНЫ, ТОЛЩИНОЙ 25, 32, 40 ММ III СОРТА</t>
  </si>
  <si>
    <t>41.17</t>
  </si>
  <si>
    <t>94306</t>
  </si>
  <si>
    <t>ПРИПОИ ОЛОВЯННО-СВИНЦОВЫЕ БЕССУРЬМЯНИСТЫЕ В ЧУШКАХ, МАРКИ: ПОС61</t>
  </si>
  <si>
    <t>42</t>
  </si>
  <si>
    <t>КОМПЕНСАТОР ИЗ СТЕКЛОТКАНИ</t>
  </si>
  <si>
    <t>43</t>
  </si>
  <si>
    <t>МЕТАЛЛИЧЕСКАЯ ПЛАНКА И МЕТАЛЛИЧ.РЕБРО</t>
  </si>
  <si>
    <t>ТН</t>
  </si>
  <si>
    <t>44</t>
  </si>
  <si>
    <t>С140-6366</t>
  </si>
  <si>
    <t>БЕТОН ТЯЖЕЛЫЙ М-350 ФРАКЦИИ 5-20ММ</t>
  </si>
  <si>
    <t>45</t>
  </si>
  <si>
    <t>С124-9200</t>
  </si>
  <si>
    <t>АРМАТУРА ДЛЯ МОНОЛИТНЫХ ЖЕЛЕЗОБЕТОННЫХ КОНСТРУКЦИЙ В ВИДЕ СЕТОК И ПЛОСКИХ КАРКАСОВ, ГЛАДКАЯ КЛАССА АI, ДИАМЕТРОМ 6 ММ</t>
  </si>
  <si>
    <t>46</t>
  </si>
  <si>
    <t>С1610-1042</t>
  </si>
  <si>
    <t>ТОЛЬ С КРУПНОЗЕРНИСТОЙ ПОСЫПКОЙ ГИДРОИЗОЛЯЦИОННЫЙ ТГ-350</t>
  </si>
  <si>
    <t>47</t>
  </si>
  <si>
    <t>С111-612</t>
  </si>
  <si>
    <t>МАСТИКА МОРОЗОСТОЙКАЯ БИТУМНО-МАСЛЯНАЯ МБ-50</t>
  </si>
  <si>
    <t>48</t>
  </si>
  <si>
    <t>СКАТ-1</t>
  </si>
  <si>
    <t>ПЕНЬКОВЫЙ ПРОСМОЛЕННЫЙ КАНАТ Д 30ММ</t>
  </si>
  <si>
    <t>ПМ</t>
  </si>
  <si>
    <t>СОПРЯЖЕНИЕ МОСТА С НАСЫПЬЮ</t>
  </si>
  <si>
    <t>49</t>
  </si>
  <si>
    <t>Е3008-12-3</t>
  </si>
  <si>
    <t>СБОРНЫЕ Ж/Б ПЕРЕХОДНЫЕ ПЛИТЫ</t>
  </si>
  <si>
    <t>49.1</t>
  </si>
  <si>
    <t>49.2</t>
  </si>
  <si>
    <t>49.3</t>
  </si>
  <si>
    <t>49.4</t>
  </si>
  <si>
    <t>787</t>
  </si>
  <si>
    <t>КРАНЫ НА ГУСЕНИЧНОМ ХОДУ ПРИ РАБОТЕ НА ДРУГИХ ВИДАХ СТРОИТЕЛЬСТВА (КРОМЕ МАГИСТРАЛЬНЫХ ТРУБОПРОВОДОВ) 40 Т</t>
  </si>
  <si>
    <t>49.5</t>
  </si>
  <si>
    <t>49.6</t>
  </si>
  <si>
    <t>49.7</t>
  </si>
  <si>
    <t>49.8</t>
  </si>
  <si>
    <t>49.9</t>
  </si>
  <si>
    <t>22178</t>
  </si>
  <si>
    <t>БЕТОН ГИДРОТЕХНИЧЕСКИЙ, КЛАСС В 22,5 (М300)</t>
  </si>
  <si>
    <t>49.10</t>
  </si>
  <si>
    <t>22450</t>
  </si>
  <si>
    <t>РАСТВОР ГОТОВЫЙ КЛАДОЧНЫЙ ЦЕМЕНТНЫЙ, МАРКА: 25</t>
  </si>
  <si>
    <t>49.11</t>
  </si>
  <si>
    <t>30101</t>
  </si>
  <si>
    <t>49.12</t>
  </si>
  <si>
    <t>31207</t>
  </si>
  <si>
    <t>ЛАКИ КАМЕННОУГОЛЬНЫЕ МАРКИ А</t>
  </si>
  <si>
    <t>49.13</t>
  </si>
  <si>
    <t>31902</t>
  </si>
  <si>
    <t>ПЕРГАМИН КРОВЕЛЬНЫЙ П-350</t>
  </si>
  <si>
    <t>49.14</t>
  </si>
  <si>
    <t>49.15</t>
  </si>
  <si>
    <t>32129</t>
  </si>
  <si>
    <t>МАСТИКА ТИОКОЛОВАЯ СТРОИТЕЛЬНОГО НАЗНАЧЕНИЯ КБ-0,5</t>
  </si>
  <si>
    <t>49.16</t>
  </si>
  <si>
    <t>32205</t>
  </si>
  <si>
    <t>МАСЛА КАМЕННОУГОЛЬНЫЕ ДЛЯ ПРОПИТКИ ДРЕВЕСИНЫ</t>
  </si>
  <si>
    <t>49.17</t>
  </si>
  <si>
    <t>49.18</t>
  </si>
  <si>
    <t>33641</t>
  </si>
  <si>
    <t>ПРОКАТ ДЛЯ АРМИРОВАНИЯ Ж/Б КОНСТРУКЦИЙ КРУГЛЫЙ И ПЕРИОДИЧЕСКОГО ПРОФИЛЯ, ГОРЯЧЕКАТАНЫЙ И ТЕРМОМЕХАНИЧЕСКИЙ, ТЕРМИЧЕСКИ УПРОЧНЕННЫЙ КЛАСС А-I ДИАМЕТРОМ 10 ММ</t>
  </si>
  <si>
    <t>49.19</t>
  </si>
  <si>
    <t>49.20</t>
  </si>
  <si>
    <t>49.21</t>
  </si>
  <si>
    <t>49.22</t>
  </si>
  <si>
    <t>58144</t>
  </si>
  <si>
    <t>АСБЕСТ ХРИЗОТИЛОВЫЙ МАРКИ П-6-30</t>
  </si>
  <si>
    <t>50</t>
  </si>
  <si>
    <t>СКАТ-СУРХ.П24</t>
  </si>
  <si>
    <t>СБОРНЫЕ ПЛИТЫ ПЕРЕХОДНЫЕ ПП-4.99.30</t>
  </si>
  <si>
    <t>51</t>
  </si>
  <si>
    <t>Е3001-9-1</t>
  </si>
  <si>
    <t>УСТРОЙСТВО СБОРНЫХ ФУНДАМЕНТОВ ТРУБ И ОПОР МОСТОВ (СБОРН ЛЕЖНИ)</t>
  </si>
  <si>
    <t>51.1</t>
  </si>
  <si>
    <t>51.2</t>
  </si>
  <si>
    <t>51.3</t>
  </si>
  <si>
    <t>786</t>
  </si>
  <si>
    <t>КРАНЫ НА ГУСЕНИЧНОМ ХОДУ ПРИ РАБОТЕ НА ДРУГИХ ВИДАХ СТРОИТЕЛЬСТВА (КРОМЕ МАГИСТРАЛЬНЫХ ТРУБОПРОВОДОВ) 25 Т</t>
  </si>
  <si>
    <t>51.4</t>
  </si>
  <si>
    <t>51.5</t>
  </si>
  <si>
    <t>38617</t>
  </si>
  <si>
    <t>ПАКЛЯ ПРОПИТАННАЯ</t>
  </si>
  <si>
    <t>52</t>
  </si>
  <si>
    <t>СКАТ-НАВОИ</t>
  </si>
  <si>
    <t>СБОРНЫЕ Ж/Б ЛЕЖНИ Л1</t>
  </si>
  <si>
    <t>53</t>
  </si>
  <si>
    <t>53.1</t>
  </si>
  <si>
    <t>53.2</t>
  </si>
  <si>
    <t>53.3</t>
  </si>
  <si>
    <t>53.4</t>
  </si>
  <si>
    <t>53.5</t>
  </si>
  <si>
    <t>53.6</t>
  </si>
  <si>
    <t>53.7</t>
  </si>
  <si>
    <t>6341</t>
  </si>
  <si>
    <t>БЕТОН ТЯЖЕЛЫЙ КЛАССА В30 /М-400/ ФРАКЦИИ 5-20 ММ</t>
  </si>
  <si>
    <t>53.8</t>
  </si>
  <si>
    <t>53.9</t>
  </si>
  <si>
    <t>53.10</t>
  </si>
  <si>
    <t>53.11</t>
  </si>
  <si>
    <t>53.12</t>
  </si>
  <si>
    <t>53.13</t>
  </si>
  <si>
    <t>53.14</t>
  </si>
  <si>
    <t>53.15</t>
  </si>
  <si>
    <t>53.16</t>
  </si>
  <si>
    <t>54</t>
  </si>
  <si>
    <t>ОБЕТОНИРОВАНИЕ БАЛОК И ПРОГОНОВ(ОМОНОЛИЧИВАНИЕ СТЫКОВ ЛЕЖНЕЙ)</t>
  </si>
  <si>
    <t>54.1</t>
  </si>
  <si>
    <t>54.2</t>
  </si>
  <si>
    <t>54.3</t>
  </si>
  <si>
    <t>54.4</t>
  </si>
  <si>
    <t>54.5</t>
  </si>
  <si>
    <t>54.6</t>
  </si>
  <si>
    <t>54.7</t>
  </si>
  <si>
    <t>6466</t>
  </si>
  <si>
    <t>БЕТОН ТЯЖЕЛЫЙ МОРОЗОСТОЙКИЙ 150 КЛАССА В22,5 /М-300/ ФРАКЦИИ 5-20 ММ</t>
  </si>
  <si>
    <t>54.8</t>
  </si>
  <si>
    <t>54.9</t>
  </si>
  <si>
    <t>54.10</t>
  </si>
  <si>
    <t>54.11</t>
  </si>
  <si>
    <t>54.12</t>
  </si>
  <si>
    <t>54.13</t>
  </si>
  <si>
    <t>54.14</t>
  </si>
  <si>
    <t>54.15</t>
  </si>
  <si>
    <t>54.16</t>
  </si>
  <si>
    <t>55</t>
  </si>
  <si>
    <t>Е3001-1-1</t>
  </si>
  <si>
    <t>УСТРОЙСТВО ПОДУШЕК ПОД ФУНДАМЕНТЫ ОПОР МОСТОВ ЩЕБЕНОЧНЫХ (ЩЕБЕНОЧНАЯ ПОДУШКА ПОД ПЛИТЫ И ЛЕЖЕНЬ Т-40СМ)</t>
  </si>
  <si>
    <t>55.1</t>
  </si>
  <si>
    <t>55.2</t>
  </si>
  <si>
    <t>55.3</t>
  </si>
  <si>
    <t>55.4</t>
  </si>
  <si>
    <t>1866</t>
  </si>
  <si>
    <t>ТРАМБОВКИ ПНЕВМАТИЧЕСКИЕ</t>
  </si>
  <si>
    <t>55.5</t>
  </si>
  <si>
    <t>23075</t>
  </si>
  <si>
    <t>ЩЕБЕНЬ ИЗ ПРИРОДНОГО КАМНЯ ДЛЯ СТРОИТЕЛЬНЫХ РАБОТ МАРКА 800, ФРАКЦИЯ, ММ: 20-40</t>
  </si>
  <si>
    <t>56</t>
  </si>
  <si>
    <t>Е2706-020-06</t>
  </si>
  <si>
    <t>УСТРОЙСТВО ПОКРЫТИЯ ТОЛЩИНОЙ 4 СМ ИЗ ГОРЯЧИХ АСФАЛЬТОБЕТОННЫХ СМЕСЕЙ ПОРИСТЫХ КРУПНОЗЕРНИСТЫХ, ПЛОТНОСТЬ КАМЕННЫХ МАТЕРИАЛОВ 2,5-2,9 Т/М3</t>
  </si>
  <si>
    <t>56.1</t>
  </si>
  <si>
    <t>56.2</t>
  </si>
  <si>
    <t>56.3</t>
  </si>
  <si>
    <t>56.4</t>
  </si>
  <si>
    <t>56.5</t>
  </si>
  <si>
    <t>56.6</t>
  </si>
  <si>
    <t>56.7</t>
  </si>
  <si>
    <t>56.8</t>
  </si>
  <si>
    <t>56.9</t>
  </si>
  <si>
    <t>6025</t>
  </si>
  <si>
    <t>АСФАЛЬТОБЕТОННАЯ СМЕСЬ КРУПНОЗЕРНИСТАЯ ТИП А М-1</t>
  </si>
  <si>
    <t>56.10</t>
  </si>
  <si>
    <t>56.11</t>
  </si>
  <si>
    <t>57</t>
  </si>
  <si>
    <t>Е2706-021-06 К=12</t>
  </si>
  <si>
    <t>ПРИ ИЗМЕНЕНИИ ТОЛЩИНЫ ПОКРЫТИЯ НА 0,5 СМ ДОБАВЛЯТЬ К НОРМЕ 27-06-020-6</t>
  </si>
  <si>
    <t>57.1</t>
  </si>
  <si>
    <t>57.2</t>
  </si>
  <si>
    <t>57.3</t>
  </si>
  <si>
    <t>57.4</t>
  </si>
  <si>
    <t>58</t>
  </si>
  <si>
    <t>Е102-61-2</t>
  </si>
  <si>
    <t>КОНУСА И НАСЫПЬ ИЗ ДРЕНИРУЮЩЕГО ГРУНТА</t>
  </si>
  <si>
    <t>58.1</t>
  </si>
  <si>
    <t>58.2</t>
  </si>
  <si>
    <t>45046</t>
  </si>
  <si>
    <t>ГРУНТ ДРЕНИРУЮЩИЙ</t>
  </si>
  <si>
    <t>ПОДХОДЫ К МОСТУ (ПО 25М)</t>
  </si>
  <si>
    <t>59</t>
  </si>
  <si>
    <t>Е101-31-2 ТЧ П.3.31 КЭМ=1,06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</si>
  <si>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</t>
  </si>
  <si>
    <t>59.1</t>
  </si>
  <si>
    <t>59.2</t>
  </si>
  <si>
    <t>60</t>
  </si>
  <si>
    <t>60.1</t>
  </si>
  <si>
    <t>60.2</t>
  </si>
  <si>
    <t>61</t>
  </si>
  <si>
    <t>Е102-1-2</t>
  </si>
  <si>
    <t>УПЛОТНЕНИЕ ГРУНТА ПРИЦЕПНЫМИ КАТКАМИ НА ПНЕВМОКОЛЕСНОМ ХОДУ 25 Т НА ПЕРВЫЙ ПРОХОД ПО ОДНОМУ СЛЕДУ ПРИ ТОЛЩИНЕ СЛОЯ 30 СМ</t>
  </si>
  <si>
    <t>61.1</t>
  </si>
  <si>
    <t>61.2</t>
  </si>
  <si>
    <t>258</t>
  </si>
  <si>
    <t>61.3</t>
  </si>
  <si>
    <t>618</t>
  </si>
  <si>
    <t>КАТКИ ДОРОЖНЫЕ ПРИЦЕПНЫЕ НА ПНЕВМОКОЛЕСНОМ ХОДУ 25 Т</t>
  </si>
  <si>
    <t>61.4</t>
  </si>
  <si>
    <t>1835</t>
  </si>
  <si>
    <t>62</t>
  </si>
  <si>
    <t>Е102-1-8 К=5</t>
  </si>
  <si>
    <t>НА КАЖДЫЙ ПОСЛЕДУЮЩИЙ ПРОХОД ПО ОДНОМУ СЛЕДУ ДОБАВЛЯТЬ К НОРМЕ 01-02-001-2 ЗА 5 РАЗ</t>
  </si>
  <si>
    <t>62.1</t>
  </si>
  <si>
    <t>62.2</t>
  </si>
  <si>
    <t>62.3</t>
  </si>
  <si>
    <t>63</t>
  </si>
  <si>
    <t>РАЗРАБОТКА ГРУНТА С ПЕРЕМЕЩЕНИЕМ ДО 10 М БУЛЬДОЗЕРАМИ МОЩНОСТЬЮ 96 [130] КВТ [Л.С.], 2 ГРУППА ГРУНТОВ ,В ПРИСЫПНЫЕ ОБОЧИНЫ</t>
  </si>
  <si>
    <t>63.1</t>
  </si>
  <si>
    <t>63.2</t>
  </si>
  <si>
    <t>64</t>
  </si>
  <si>
    <t>64.1</t>
  </si>
  <si>
    <t>64.2</t>
  </si>
  <si>
    <t>64.3</t>
  </si>
  <si>
    <t>64.4</t>
  </si>
  <si>
    <t>64.5</t>
  </si>
  <si>
    <t>64.6</t>
  </si>
  <si>
    <t>64.7</t>
  </si>
  <si>
    <t>64.8</t>
  </si>
  <si>
    <t>64.9</t>
  </si>
  <si>
    <t>64.10</t>
  </si>
  <si>
    <t>64.11</t>
  </si>
  <si>
    <t>64.12</t>
  </si>
  <si>
    <t>64.13</t>
  </si>
  <si>
    <t>65</t>
  </si>
  <si>
    <t>Е2706-021-01 К=2</t>
  </si>
  <si>
    <t>ПРИ ИЗМЕНЕНИИ ТОЛЩИНЫ ПОКРЫТИЯ НА 0,5 СМ ДОБАВЛЯТЬ ИЛИ ИСКЛЮЧАТЬ К НОРМЕ 27-06-020-1 ЗА 2 РАЗА</t>
  </si>
  <si>
    <t>65.1</t>
  </si>
  <si>
    <t>65.2</t>
  </si>
  <si>
    <t>65.3</t>
  </si>
  <si>
    <t>65.4</t>
  </si>
  <si>
    <t>66</t>
  </si>
  <si>
    <t>Е2706-020-03</t>
  </si>
  <si>
    <t>УСТРОЙСТВО ПОКРЫТИЯ ТОЛЩИНОЙ 4 СМ ИЗ ГОРЯЧИХ АСФАЛЬТОБЕТОННЫХ СМЕСЕЙ ПЛОТНЫХ КРУПНОЗЕРНИНИСТЫХ ТИПА АБ, ПЛОТНОСТЬ КАМЕННЫХ МАТЕРИАЛОВ 2,5-2,9 Т/М3</t>
  </si>
  <si>
    <t>66.1</t>
  </si>
  <si>
    <t>66.2</t>
  </si>
  <si>
    <t>66.3</t>
  </si>
  <si>
    <t>66.4</t>
  </si>
  <si>
    <t>66.5</t>
  </si>
  <si>
    <t>66.6</t>
  </si>
  <si>
    <t>66.7</t>
  </si>
  <si>
    <t>66.8</t>
  </si>
  <si>
    <t>66.9</t>
  </si>
  <si>
    <t>66.10</t>
  </si>
  <si>
    <t>66.11</t>
  </si>
  <si>
    <t>66.12</t>
  </si>
  <si>
    <t>66.13</t>
  </si>
  <si>
    <t>67</t>
  </si>
  <si>
    <t>Е2706-021-03 К=2</t>
  </si>
  <si>
    <t>ПРИ ИЗМЕНЕНИИ ТОЛЩИНЫ ПОКРЫТИЯ НА 0,5 СМ ДОБАВЛЯТЬ К НОРМЕ 27-06-020-3</t>
  </si>
  <si>
    <t>67.1</t>
  </si>
  <si>
    <t>67.2</t>
  </si>
  <si>
    <t>67.3</t>
  </si>
  <si>
    <t>67.4</t>
  </si>
  <si>
    <t>68</t>
  </si>
  <si>
    <t>Е2703-2-1 Т.Ч.Т.1.1</t>
  </si>
  <si>
    <t>УСТРОЙСТВО ОСНОВАНИЙ И ПОКРЫТИЙ ТОЛЩИНОЙ СЛОЯ 8 СМ ИЗ ПЕСЧАНО-ГРАВИЙНЫХ СМЕСЕЙ С ПРИМЕНЕНИЕМ БИТУМА, ОБРАБАТЫВАЕМЫХ СМЕШЕНИЕМ АВТОГРЕЙДЕРАМИ НА МЕСТЕ ИЗ НОВЫХ МАТЕРИАЛОВ. ПЕСЧАННО-ГРАВИЙНАЯ СМЕСЬ</t>
  </si>
  <si>
    <t>68.1</t>
  </si>
  <si>
    <t>68.2</t>
  </si>
  <si>
    <t>68.3</t>
  </si>
  <si>
    <t>107</t>
  </si>
  <si>
    <t>68.4</t>
  </si>
  <si>
    <t>108</t>
  </si>
  <si>
    <t>АВТОГУДРОНАТОРЫ 3500 Л</t>
  </si>
  <si>
    <t>68.5</t>
  </si>
  <si>
    <t>112</t>
  </si>
  <si>
    <t>68.6</t>
  </si>
  <si>
    <t>68.7</t>
  </si>
  <si>
    <t>68.8</t>
  </si>
  <si>
    <t>1024</t>
  </si>
  <si>
    <t>ЩЕТКИ ДОРОЖНЫЕ НАВЕСНЫЕ С ТРАКТОРОМ</t>
  </si>
  <si>
    <t>68.9</t>
  </si>
  <si>
    <t>68.10</t>
  </si>
  <si>
    <t>68.11</t>
  </si>
  <si>
    <t>68.12</t>
  </si>
  <si>
    <t>12303</t>
  </si>
  <si>
    <t>ГРАВИЙНО-ПЕСЧАНАЯ СМЕСЬ</t>
  </si>
  <si>
    <t>68.13</t>
  </si>
  <si>
    <t>68.14</t>
  </si>
  <si>
    <t>69</t>
  </si>
  <si>
    <t>С111-72</t>
  </si>
  <si>
    <t>БИТУМЫ НЕФТЯНЫЕ СТРОИТЕЛЬНЫЕ ИЗОЛЯЦИОННЫЕ БНИ-1У-3, БНИ-1У, БНИ-У</t>
  </si>
  <si>
    <t>70</t>
  </si>
  <si>
    <t>Е2704-3-1 Т.Ч.Т.1.1</t>
  </si>
  <si>
    <t>УСТРОЙСТВО ОСНОВАНИЙ И ПОКРЫТИЙ ИЗ ПЕСЧАНО-ГРАВИЙНЫХ СМЕСЕЙ ОДНОСЛОЙНЫХ ТОЛЩИНОЙ 12 СМ ИЗ ГРАВИЙНО-ПЕСЧАНОЙ СМЕСИ</t>
  </si>
  <si>
    <t>70.1</t>
  </si>
  <si>
    <t>70.2</t>
  </si>
  <si>
    <t>70.3</t>
  </si>
  <si>
    <t>70.4</t>
  </si>
  <si>
    <t>70.5</t>
  </si>
  <si>
    <t>70.6</t>
  </si>
  <si>
    <t>70.7</t>
  </si>
  <si>
    <t>626</t>
  </si>
  <si>
    <t>КАТКИ ДОРОЖНЫЕ САМОХОДНЫЕ НА ПНЕВМОКОЛЕСНОМ ХОДУ 30 Т</t>
  </si>
  <si>
    <t>70.8</t>
  </si>
  <si>
    <t>70.9</t>
  </si>
  <si>
    <t>70.10</t>
  </si>
  <si>
    <t>9260</t>
  </si>
  <si>
    <t>ГРАВИЙ М ДР.8 ФРАКЦИИ СВЫШЕ 3-10 ММ И 5-10 ММ</t>
  </si>
  <si>
    <t>71</t>
  </si>
  <si>
    <t>Е2704-3-1 ТЧ П.1.8. К=18</t>
  </si>
  <si>
    <t>НА КАЖДЫЙ 1 СМ ИЗМЕНЕНИЯ ТОЛЩИНЫ СЛОЯ ДОБАВЛЯТЬ ИЛИ ИСКЛЮЧАТЬ К НОРМАМ С 27-04-003-1 ЗА 18 РАЗ</t>
  </si>
  <si>
    <t>71.1</t>
  </si>
  <si>
    <t>71.2</t>
  </si>
  <si>
    <t>71.3</t>
  </si>
  <si>
    <t>71.4</t>
  </si>
  <si>
    <t>71.5</t>
  </si>
  <si>
    <t>71.6</t>
  </si>
  <si>
    <t>71.7</t>
  </si>
  <si>
    <t>71.8</t>
  </si>
  <si>
    <t>71.9</t>
  </si>
  <si>
    <t>71.10</t>
  </si>
  <si>
    <t>72</t>
  </si>
  <si>
    <t>Е2709-001-01</t>
  </si>
  <si>
    <t>УСТРОЙСТВО ПАРАПЕТОВ ЖЕЛЕЗОБЕТОННЫХ</t>
  </si>
  <si>
    <t>72.1</t>
  </si>
  <si>
    <t>72.2</t>
  </si>
  <si>
    <t>72.3</t>
  </si>
  <si>
    <t>72.4</t>
  </si>
  <si>
    <t>72.5</t>
  </si>
  <si>
    <t>1070</t>
  </si>
  <si>
    <t>МАШИНЫ БУРИЛЬНО-КРАНОВЫЕ НА АВТОМОБИЛЕ ГЛУБИНОЙ БУРЕНИЯ 3,5 М</t>
  </si>
  <si>
    <t>72.6</t>
  </si>
  <si>
    <t>72.7</t>
  </si>
  <si>
    <t>12226</t>
  </si>
  <si>
    <t>РАСТВОР ГОТОВЫЙ КЛАДОЧНЫЙ ЦЕМЕНТНЫЙ, МАРКА 100</t>
  </si>
  <si>
    <t>72.8</t>
  </si>
  <si>
    <t>31445</t>
  </si>
  <si>
    <t>КРАСКИ ПЕРХЛОРВИНИЛОВЫЕ</t>
  </si>
  <si>
    <t>72.9</t>
  </si>
  <si>
    <t>32547</t>
  </si>
  <si>
    <t>ПРОВОЛОКА ЧЕРНАЯ ДИАМЕТРОМ 0,55 ММ</t>
  </si>
  <si>
    <t>72.10</t>
  </si>
  <si>
    <t>32650</t>
  </si>
  <si>
    <t>ПЛЕНКА ДЛЯ ДОРОЖНЫХ ЗНАКОВ БЕЗ ПОКРЫТИЯ ОБРАТНОЙ СТОРОНЫ КЛЕЕВЫМ СОСТАВОМ</t>
  </si>
  <si>
    <t>72.11</t>
  </si>
  <si>
    <t>72.12</t>
  </si>
  <si>
    <t>41209</t>
  </si>
  <si>
    <t>МЕТАЛЛОКОНСТРУКЦИИ СВЕТООТРАЖАЮЩИХ УСТРОЙСТВ</t>
  </si>
  <si>
    <t>73</t>
  </si>
  <si>
    <t>СКАТ-СУРХАНДАР.П42</t>
  </si>
  <si>
    <t>СБOРНЫЕ ОГРАЖДАЮЩИЕ БЛОКИ 1БДО-3</t>
  </si>
  <si>
    <t>74</t>
  </si>
  <si>
    <t>Е2709-8-1</t>
  </si>
  <si>
    <t>УСТАНОВКА ДОРОЖНЫХ ЗНАКОВ НА МЕТАЛЛИЧЕСКИХ СТОЙКАХ (ЗНАКИ ДОРОЖНЫЕ)</t>
  </si>
  <si>
    <t>100ШТ</t>
  </si>
  <si>
    <t>74.1</t>
  </si>
  <si>
    <t>74.2</t>
  </si>
  <si>
    <t>74.3</t>
  </si>
  <si>
    <t>74.4</t>
  </si>
  <si>
    <t>1069</t>
  </si>
  <si>
    <t>МАШИНЫ БУРИЛЬНЫЕ НА ТРАКТОРЕ 85 (115) КВТ (Л.С.) ГЛУБИНОЙ БУРЕНИЯ 3,5 М</t>
  </si>
  <si>
    <t>74.5</t>
  </si>
  <si>
    <t>74.6</t>
  </si>
  <si>
    <t>30303</t>
  </si>
  <si>
    <t>БОЛТЫ С ШЕСТИГРАННОЙ ГОЛОВКОЙ ДИАМЕТРОМ РЕЗЬБЫ 10 ММ</t>
  </si>
  <si>
    <t>74.7</t>
  </si>
  <si>
    <t>31403</t>
  </si>
  <si>
    <t>ГРУНТОВКА В-КФ-093 КРАСНО-КОРИЧНЕВАЯ, СЕРАЯ, ЧЕРНАЯ</t>
  </si>
  <si>
    <t>74.8</t>
  </si>
  <si>
    <t>74.9</t>
  </si>
  <si>
    <t>31507</t>
  </si>
  <si>
    <t>РАСТВОРИТЕЛИ ДЛЯ ЛАКОКРАСОЧНЫХ МАТЕРИАЛОВ Р-4А</t>
  </si>
  <si>
    <t>74.10</t>
  </si>
  <si>
    <t>41082</t>
  </si>
  <si>
    <t>ЩИТКИ МЕТАЛЛИЧЕСКИЕ</t>
  </si>
  <si>
    <t>74.11</t>
  </si>
  <si>
    <t>43789</t>
  </si>
  <si>
    <t>СТОЙКИ МЕТАЛЛИЧЕСКИЕ</t>
  </si>
  <si>
    <t>75</t>
  </si>
  <si>
    <t>Е3001-10-1</t>
  </si>
  <si>
    <t>УСТРОЙСТВО МОНОЛИТНЫХ ФУНДАМЕНТОВ ТРУБ И ОПОР МОСТОВ</t>
  </si>
  <si>
    <t>75.1</t>
  </si>
  <si>
    <t>75.2</t>
  </si>
  <si>
    <t>75.3</t>
  </si>
  <si>
    <t>75.4</t>
  </si>
  <si>
    <t>75.5</t>
  </si>
  <si>
    <t>75.6</t>
  </si>
  <si>
    <t>75.7</t>
  </si>
  <si>
    <t>75.8</t>
  </si>
  <si>
    <t>75.9</t>
  </si>
  <si>
    <t>75.10</t>
  </si>
  <si>
    <t>6330</t>
  </si>
  <si>
    <t>БЕТОН ТЯЖЕЛЫЙ КЛАССА В20 /М-250/ ФРАКЦИИ БОЛЕЕ 40 ММ</t>
  </si>
  <si>
    <t>75.11</t>
  </si>
  <si>
    <t>75.12</t>
  </si>
  <si>
    <t>75.13</t>
  </si>
  <si>
    <t>75.14</t>
  </si>
  <si>
    <t>75.15</t>
  </si>
  <si>
    <t>75.16</t>
  </si>
  <si>
    <t>75.17</t>
  </si>
  <si>
    <t>75.18</t>
  </si>
  <si>
    <t>36028</t>
  </si>
  <si>
    <t>БРУСКИ ОБРЕЗНЫЕ ХВОЙНЫХ ПОРОД ДЛИНОЙ 4-6,5 М, ШИРИНОЙ 75-150 ММ, ТОЛЩИНОЙ 100, 125 ММ, II СОРТА</t>
  </si>
  <si>
    <t>75.19</t>
  </si>
  <si>
    <t>75.20</t>
  </si>
  <si>
    <t>76</t>
  </si>
  <si>
    <t>Е3001-11-1</t>
  </si>
  <si>
    <t>УСТАНОВКА АРМАТУРНЫХ СЕТОК В МОНОЛИТНЫХ ФУНДАМЕНТАХ ТРУБ И ОПОР МОСТОВ</t>
  </si>
  <si>
    <t>76.1</t>
  </si>
  <si>
    <t>76.2</t>
  </si>
  <si>
    <t>3507</t>
  </si>
  <si>
    <t>ГОРЯЧЕКАТАНАЯ АРМАТУРНАЯ СТАЛЬ ГЛАДКАЯ КЛАССА А-I ДИАМЕТРОМ 12 ММ</t>
  </si>
  <si>
    <t>76.3</t>
  </si>
  <si>
    <t>32543</t>
  </si>
  <si>
    <t>ЛОКАЛЬНАЯ РЕСУРСНАЯ ВЕДОМОСТЬ  № 2-1-4-АВТОДОРОЖНЫЙ ЖЕЛЕЗОБЕТОННЫЙ МОСТ НА ПК5+15 НА КАТАСТРОФИЧЕСКОМ СБРОСЕ,</t>
  </si>
  <si>
    <t>E1-2-103-2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</si>
  <si>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ДО 24 СМ</t>
  </si>
  <si>
    <t>7,26</t>
  </si>
  <si>
    <t>0,2904</t>
  </si>
  <si>
    <t>5,96</t>
  </si>
  <si>
    <t>0,2384</t>
  </si>
  <si>
    <t>000686</t>
  </si>
  <si>
    <t>КОРЧЕВАТЕЛИ-СОБИРАТЕЛИ С ТРАКТОРОМ 79 (108) КВТ (Л.С.)</t>
  </si>
  <si>
    <t>1,68</t>
  </si>
  <si>
    <t>0,0672</t>
  </si>
  <si>
    <t>4,28</t>
  </si>
  <si>
    <t>0,1712</t>
  </si>
  <si>
    <t>E1-2-103-3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</si>
  <si>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ДО 32 СМ</t>
  </si>
  <si>
    <t>0,05</t>
  </si>
  <si>
    <t>9,02</t>
  </si>
  <si>
    <t>0,451</t>
  </si>
  <si>
    <t>7,39</t>
  </si>
  <si>
    <t>0,3695</t>
  </si>
  <si>
    <t>2,07</t>
  </si>
  <si>
    <t>0,1035</t>
  </si>
  <si>
    <t>0,266</t>
  </si>
  <si>
    <t>E1-2-103-4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</si>
  <si>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СВЫШЕ 32 СМ</t>
  </si>
  <si>
    <t>15,18</t>
  </si>
  <si>
    <t>4,8576</t>
  </si>
  <si>
    <t>12,13</t>
  </si>
  <si>
    <t>3,8816</t>
  </si>
  <si>
    <t>3,44</t>
  </si>
  <si>
    <t>1,1008</t>
  </si>
  <si>
    <t>8,69</t>
  </si>
  <si>
    <t>2,7808</t>
  </si>
  <si>
    <t>E1-2-108-1</t>
  </si>
  <si>
    <t>ОБИВКА ЗЕМЛИ С ВЫКОРЧЕВАННЫХ ПНЕЙ КОРЧЕВАТЕЛЯМИ-СОБИРАТЕЛЯМИ НА ТРАКТОРЕ 79 [108] КВТ [Л.С.], ДИАМЕТР ПНЕЙ ДО 24 СМ</t>
  </si>
  <si>
    <t>100ПНЕЙ</t>
  </si>
  <si>
    <t>0,76</t>
  </si>
  <si>
    <t>0,0304</t>
  </si>
  <si>
    <t>E1-2-108-2</t>
  </si>
  <si>
    <t>ОБИВКА ЗЕМЛИ С ВЫКОРЧЕВАННЫХ ПНЕЙ КОРЧЕВАТЕЛЯМИ-СОБИРАТЕЛЯМИ НА ТРАКТОРЕ 79 [108] КВТ [Л.С.], ДИАМЕТР ПНЕЙ СВЫШЕ ДО 24 СМ</t>
  </si>
  <si>
    <t>0,37</t>
  </si>
  <si>
    <t>1,54</t>
  </si>
  <si>
    <t>0,5698</t>
  </si>
  <si>
    <t>E1-2-107-1</t>
  </si>
  <si>
    <t>ЗАСЫПКА ЯМ ПОДКОРЕННЫХ БУЛЬДОЗЕРАМИ МОЩНОСТЬЮ 79 [108] КВТ [Л.С.]</t>
  </si>
  <si>
    <t>100ЯМ</t>
  </si>
  <si>
    <t>0,41</t>
  </si>
  <si>
    <t>2,33</t>
  </si>
  <si>
    <t>0,9553</t>
  </si>
  <si>
    <t>ЛОКАЛЬНАЯ РЕСУРСНАЯ ВЕДОМОСТЬ № 2-1-5-КОРЧЕВКА ДЕРЕВЬЕВ</t>
  </si>
  <si>
    <t>ЛОКАЛЬНАЯ РЕСУРСНАЯ ВЕДОМОСТЬ № 2-1-1-ПРИ ПЛОТИНЫЙ ДРЕНАЖ( ПРОТЯЖ.160 ПМ)</t>
  </si>
  <si>
    <t>001760</t>
  </si>
  <si>
    <t>ВИБРАТОРЫ ГЛУБИННЫЕ ПНЕВМАТИЧЕСКИЕ</t>
  </si>
  <si>
    <t>036058</t>
  </si>
  <si>
    <t>E37-4-1-3</t>
  </si>
  <si>
    <t>УСТРОЙСТВО БЫЧКОВ, УСТОЕВ ЩИТОВЫХ И ДРУГИХ СТЕНОК</t>
  </si>
  <si>
    <t>496</t>
  </si>
  <si>
    <t>35,42</t>
  </si>
  <si>
    <t>6,38</t>
  </si>
  <si>
    <t>13,38</t>
  </si>
  <si>
    <t>14,11</t>
  </si>
  <si>
    <t>11,39</t>
  </si>
  <si>
    <t>11,74</t>
  </si>
  <si>
    <t>2,66</t>
  </si>
  <si>
    <t>0,132</t>
  </si>
  <si>
    <t>0,035</t>
  </si>
  <si>
    <t>032524</t>
  </si>
  <si>
    <t>036008</t>
  </si>
  <si>
    <t>ЛЕСОМАТЕРИАЛЫ КРУГЛЫЕ ХВОЙНЫХ ПОРОД. ЛЕСОМАТЕРИАЛЫ ДЛЯ СТРОИТЕЛЬСТВА ДЛИНОЙ 3-6,5 М, ДИАМЕТРОМ 14-24 СМ</t>
  </si>
  <si>
    <t>2,57</t>
  </si>
  <si>
    <t>126,4</t>
  </si>
  <si>
    <t>100Т</t>
  </si>
  <si>
    <t>20.3</t>
  </si>
  <si>
    <t>20.4</t>
  </si>
  <si>
    <t>20.5</t>
  </si>
  <si>
    <t>E41-1-13-5</t>
  </si>
  <si>
    <t>УПЛОТНЕНИЕ ДЕФОРМАЦИОННОГО ШВА ПРОЧИМИ ВЕРТИКАЛЬНЫМИ УПЛОТНЕНИЯМИ ИЗ РЕЗИНОВОЙ ДИАФРАГМЫ</t>
  </si>
  <si>
    <t>103,11</t>
  </si>
  <si>
    <t>0,17</t>
  </si>
  <si>
    <t>21.4</t>
  </si>
  <si>
    <t>0,26</t>
  </si>
  <si>
    <t>21.5</t>
  </si>
  <si>
    <t>003527</t>
  </si>
  <si>
    <t>ГОРЯЧЕКАТАННАЯ АРМАТУРНАЯ СТАЛЬ ПЕРИОДИЧЕСКОГО ПРОФИЛЯ КЛАССА А-II, ДИАМЕТРОМ 14 ММ</t>
  </si>
  <si>
    <t>0,01</t>
  </si>
  <si>
    <t>21.6</t>
  </si>
  <si>
    <t>031691</t>
  </si>
  <si>
    <t>КЛЕЙ РЕЗИНОВЫЙ П-9</t>
  </si>
  <si>
    <t>21.7</t>
  </si>
  <si>
    <t>032722</t>
  </si>
  <si>
    <t>030322</t>
  </si>
  <si>
    <t>0,073</t>
  </si>
  <si>
    <t>ПРОКЛАДКИ РЕЗИНОВЫЕ</t>
  </si>
  <si>
    <t>E42-1-4-4</t>
  </si>
  <si>
    <t>КРЕПЛЕНИЕ ОТКОСОВ КАМНЕМ НАСУХО ИЗ КАМЕННОЙ НАБРОСКИ</t>
  </si>
  <si>
    <t>89</t>
  </si>
  <si>
    <t>5,88</t>
  </si>
  <si>
    <t>043109</t>
  </si>
  <si>
    <t>КАМЕНЬ БУТОВЫЙ</t>
  </si>
  <si>
    <t>103</t>
  </si>
  <si>
    <t>2,47</t>
  </si>
  <si>
    <t>0,52</t>
  </si>
  <si>
    <t>3,06</t>
  </si>
  <si>
    <t>0,0108</t>
  </si>
  <si>
    <t>0,01944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</si>
  <si>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</si>
  <si>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</si>
  <si>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</si>
  <si>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</si>
  <si>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</si>
  <si>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</si>
  <si>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</si>
  <si>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</si>
  <si>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E37-4-1-2</t>
  </si>
  <si>
    <t>УСТРОЙСТВО ОТКОСОВ</t>
  </si>
  <si>
    <t>488</t>
  </si>
  <si>
    <t>24,71</t>
  </si>
  <si>
    <t>19,32</t>
  </si>
  <si>
    <t>7,54</t>
  </si>
  <si>
    <t>19.6</t>
  </si>
  <si>
    <t>9,5</t>
  </si>
  <si>
    <t>19.7</t>
  </si>
  <si>
    <t>30,16</t>
  </si>
  <si>
    <t>19.8</t>
  </si>
  <si>
    <t>4,83</t>
  </si>
  <si>
    <t>19.9</t>
  </si>
  <si>
    <t>2,13</t>
  </si>
  <si>
    <t>19.10</t>
  </si>
  <si>
    <t>19.11</t>
  </si>
  <si>
    <t>19.12</t>
  </si>
  <si>
    <t>19.13</t>
  </si>
  <si>
    <t>0,004</t>
  </si>
  <si>
    <t>19.14</t>
  </si>
  <si>
    <t>0,009</t>
  </si>
  <si>
    <t>19.15</t>
  </si>
  <si>
    <t>19.16</t>
  </si>
  <si>
    <t>19.17</t>
  </si>
  <si>
    <t>31,3</t>
  </si>
  <si>
    <t>20.6</t>
  </si>
  <si>
    <t>20.7</t>
  </si>
  <si>
    <t>21.8</t>
  </si>
  <si>
    <t>21.9</t>
  </si>
  <si>
    <t>21.10</t>
  </si>
  <si>
    <t>21.11</t>
  </si>
  <si>
    <t>21.12</t>
  </si>
  <si>
    <t>21.13</t>
  </si>
  <si>
    <t>21.14</t>
  </si>
  <si>
    <t>21.15</t>
  </si>
  <si>
    <t>21.16</t>
  </si>
  <si>
    <t>21.17</t>
  </si>
  <si>
    <t>22.3</t>
  </si>
  <si>
    <t>0,14</t>
  </si>
  <si>
    <t>22.4</t>
  </si>
  <si>
    <t>22.5</t>
  </si>
  <si>
    <t>22.6</t>
  </si>
  <si>
    <t>22.7</t>
  </si>
  <si>
    <t>22.8</t>
  </si>
  <si>
    <t>22.9</t>
  </si>
  <si>
    <t>22.10</t>
  </si>
  <si>
    <t>22.11</t>
  </si>
  <si>
    <t>22.13</t>
  </si>
  <si>
    <t>22.15</t>
  </si>
  <si>
    <t>22.17</t>
  </si>
  <si>
    <t>22.19</t>
  </si>
  <si>
    <t>23.11</t>
  </si>
  <si>
    <t>23.12</t>
  </si>
  <si>
    <t>23.13</t>
  </si>
  <si>
    <t>23.14</t>
  </si>
  <si>
    <t>23.15</t>
  </si>
  <si>
    <t>23.16</t>
  </si>
  <si>
    <t>23.17</t>
  </si>
  <si>
    <t>1,6524</t>
  </si>
  <si>
    <t>20,1</t>
  </si>
  <si>
    <t>26.1</t>
  </si>
  <si>
    <t>26.2</t>
  </si>
  <si>
    <t>26.3</t>
  </si>
  <si>
    <t>26.4</t>
  </si>
  <si>
    <t>26.5</t>
  </si>
  <si>
    <t>26.6</t>
  </si>
  <si>
    <t>26.7</t>
  </si>
  <si>
    <t>26.8</t>
  </si>
  <si>
    <t>E41-1-4-7</t>
  </si>
  <si>
    <t>ОКЛЕЕЧНАЯ ИЗОЛЯЦИЯ ВЕРТИКАЛЬНОЙ БЕТОННОЙ ПОВЕРХНОСТИ РУЛОННЫМ МАТЕРИАЛОМ В ДВА СЛОЯ</t>
  </si>
  <si>
    <t>203,4</t>
  </si>
  <si>
    <t>0,85</t>
  </si>
  <si>
    <t>МАШИНЫ ОБЩЕСТРОИТЕЛЬНЫЕ БИТУМОЗАПРАВЩИКИ 4 Т</t>
  </si>
  <si>
    <t>0,83</t>
  </si>
  <si>
    <t>237</t>
  </si>
  <si>
    <t>0,35</t>
  </si>
  <si>
    <t>0,0005</t>
  </si>
  <si>
    <t>0,44</t>
  </si>
  <si>
    <t>0,162</t>
  </si>
  <si>
    <t>0,0054</t>
  </si>
  <si>
    <t>0,46</t>
  </si>
  <si>
    <t>0,63</t>
  </si>
  <si>
    <t>030133</t>
  </si>
  <si>
    <t>СМОЛА КАМЕННОУГОЛЬНАЯ ДЛЯ ДОРОЖНОГО СТРОИТЕЛЬСТВА</t>
  </si>
  <si>
    <t>ОГОЛОВОК</t>
  </si>
  <si>
    <t>1,58522</t>
  </si>
  <si>
    <t>345,57796</t>
  </si>
  <si>
    <t>30,594746</t>
  </si>
  <si>
    <t>18,071508</t>
  </si>
  <si>
    <t>8,4650748</t>
  </si>
  <si>
    <t>0,7609056</t>
  </si>
  <si>
    <t>14,584024</t>
  </si>
  <si>
    <t>33,8602992</t>
  </si>
  <si>
    <t>4,517877</t>
  </si>
  <si>
    <t>2,2827168</t>
  </si>
  <si>
    <t>160,89983</t>
  </si>
  <si>
    <t>1,0938018</t>
  </si>
  <si>
    <t>31,7044</t>
  </si>
  <si>
    <t>0,0079261</t>
  </si>
  <si>
    <t>0,008401666</t>
  </si>
  <si>
    <t>0,317044</t>
  </si>
  <si>
    <t>8,4333704</t>
  </si>
  <si>
    <t>29,643614</t>
  </si>
  <si>
    <t>6,34088</t>
  </si>
  <si>
    <t>3094,34944</t>
  </si>
  <si>
    <t>156,6831448</t>
  </si>
  <si>
    <t>122,5058016</t>
  </si>
  <si>
    <t>47,8102352</t>
  </si>
  <si>
    <t>4,5020248</t>
  </si>
  <si>
    <t>60,23836</t>
  </si>
  <si>
    <t>191,2409408</t>
  </si>
  <si>
    <t>30,6264504</t>
  </si>
  <si>
    <t>13,5060744</t>
  </si>
  <si>
    <t>643,59932</t>
  </si>
  <si>
    <t>15,6619736</t>
  </si>
  <si>
    <t>450,20248</t>
  </si>
  <si>
    <t>0,02536352</t>
  </si>
  <si>
    <t>0,05706792</t>
  </si>
  <si>
    <t>1,0145408</t>
  </si>
  <si>
    <t>152,18112</t>
  </si>
  <si>
    <t>198,469544</t>
  </si>
  <si>
    <t>НАЧАЛО БЫСТРОТОЧНОГО УЧАСТКА</t>
  </si>
  <si>
    <t>0,4767</t>
  </si>
  <si>
    <t>236,4432</t>
  </si>
  <si>
    <t>16,884714</t>
  </si>
  <si>
    <t>3,041346</t>
  </si>
  <si>
    <t>1,868664</t>
  </si>
  <si>
    <t>6,378246</t>
  </si>
  <si>
    <t>6,726237</t>
  </si>
  <si>
    <t>5,429613</t>
  </si>
  <si>
    <t>20.8</t>
  </si>
  <si>
    <t>5,596458</t>
  </si>
  <si>
    <t>20.9</t>
  </si>
  <si>
    <t>48,38505</t>
  </si>
  <si>
    <t>20.10</t>
  </si>
  <si>
    <t>1,268022</t>
  </si>
  <si>
    <t>20.11</t>
  </si>
  <si>
    <t>22,4049</t>
  </si>
  <si>
    <t>20.12</t>
  </si>
  <si>
    <t>0,0347991</t>
  </si>
  <si>
    <t>20.13</t>
  </si>
  <si>
    <t>0,0629244</t>
  </si>
  <si>
    <t>20.14</t>
  </si>
  <si>
    <t>0,0166845</t>
  </si>
  <si>
    <t>20.15</t>
  </si>
  <si>
    <t>0,019068</t>
  </si>
  <si>
    <t>20.16</t>
  </si>
  <si>
    <t>0,04767</t>
  </si>
  <si>
    <t>20.17</t>
  </si>
  <si>
    <t>0,076272</t>
  </si>
  <si>
    <t>20.18</t>
  </si>
  <si>
    <t>1,225119</t>
  </si>
  <si>
    <t>20.19</t>
  </si>
  <si>
    <t>2,8602</t>
  </si>
  <si>
    <t>20.20</t>
  </si>
  <si>
    <t>60,25488</t>
  </si>
  <si>
    <t>1,1123</t>
  </si>
  <si>
    <t>242,4814</t>
  </si>
  <si>
    <t>21,46739</t>
  </si>
  <si>
    <t>12,68022</t>
  </si>
  <si>
    <t>5,939682</t>
  </si>
  <si>
    <t>0,533904</t>
  </si>
  <si>
    <t>10,23316</t>
  </si>
  <si>
    <t>23,758728</t>
  </si>
  <si>
    <t>3,170055</t>
  </si>
  <si>
    <t>1,601712</t>
  </si>
  <si>
    <t>112,89845</t>
  </si>
  <si>
    <t>0,767487</t>
  </si>
  <si>
    <t>22,246</t>
  </si>
  <si>
    <t>0,0055615</t>
  </si>
  <si>
    <t>0,00589519</t>
  </si>
  <si>
    <t>0,22246</t>
  </si>
  <si>
    <t>5,917436</t>
  </si>
  <si>
    <t>20,80001</t>
  </si>
  <si>
    <t>БЛОКИ БЫСТРОТОКА</t>
  </si>
  <si>
    <t>6,93657</t>
  </si>
  <si>
    <t>3440,53872</t>
  </si>
  <si>
    <t>245,6933094</t>
  </si>
  <si>
    <t>44,2553166</t>
  </si>
  <si>
    <t>27,1913544</t>
  </si>
  <si>
    <t>92,8113066</t>
  </si>
  <si>
    <t>97,8750027</t>
  </si>
  <si>
    <t>79,0075323</t>
  </si>
  <si>
    <t>81,4353318</t>
  </si>
  <si>
    <t>704,061855</t>
  </si>
  <si>
    <t>18,4512762</t>
  </si>
  <si>
    <t>326,01879</t>
  </si>
  <si>
    <t>22.12</t>
  </si>
  <si>
    <t>0,50636961</t>
  </si>
  <si>
    <t>0,91562724</t>
  </si>
  <si>
    <t>22.14</t>
  </si>
  <si>
    <t>0,24277995</t>
  </si>
  <si>
    <t>0,2774628</t>
  </si>
  <si>
    <t>22.16</t>
  </si>
  <si>
    <t>0,693657</t>
  </si>
  <si>
    <t>1,1098512</t>
  </si>
  <si>
    <t>22.18</t>
  </si>
  <si>
    <t>17,8269849</t>
  </si>
  <si>
    <t>41,61942</t>
  </si>
  <si>
    <t>22.20</t>
  </si>
  <si>
    <t>876,782448</t>
  </si>
  <si>
    <t>16,18533</t>
  </si>
  <si>
    <t>3528,40194</t>
  </si>
  <si>
    <t>312,376869</t>
  </si>
  <si>
    <t>184,512762</t>
  </si>
  <si>
    <t>86,4296622</t>
  </si>
  <si>
    <t>7,7689584</t>
  </si>
  <si>
    <t>148,905036</t>
  </si>
  <si>
    <t>345,7186488</t>
  </si>
  <si>
    <t>46,1281905</t>
  </si>
  <si>
    <t>23,3068752</t>
  </si>
  <si>
    <t>1642,810995</t>
  </si>
  <si>
    <t>11,1678777</t>
  </si>
  <si>
    <t>323,7066</t>
  </si>
  <si>
    <t>0,08092665</t>
  </si>
  <si>
    <t>0,085782249</t>
  </si>
  <si>
    <t>3,237066</t>
  </si>
  <si>
    <t>86,1059556</t>
  </si>
  <si>
    <t>302,665671</t>
  </si>
  <si>
    <t>КОНЕЦ БЫСТРОТОЧНОГО УЧАСТКА</t>
  </si>
  <si>
    <t>0,79341</t>
  </si>
  <si>
    <t>393,53136</t>
  </si>
  <si>
    <t>28,1025822</t>
  </si>
  <si>
    <t>5,0619558</t>
  </si>
  <si>
    <t>3,1101672</t>
  </si>
  <si>
    <t>10,6158258</t>
  </si>
  <si>
    <t>11,1950151</t>
  </si>
  <si>
    <t>9,0369399</t>
  </si>
  <si>
    <t>9,3146334</t>
  </si>
  <si>
    <t>80,531115</t>
  </si>
  <si>
    <t>2,1104706</t>
  </si>
  <si>
    <t>37,29027</t>
  </si>
  <si>
    <t>0,05791893</t>
  </si>
  <si>
    <t>0,10473012</t>
  </si>
  <si>
    <t>0,02776935</t>
  </si>
  <si>
    <t>0,0317364</t>
  </si>
  <si>
    <t>0,079341</t>
  </si>
  <si>
    <t>0,1269456</t>
  </si>
  <si>
    <t>24.18</t>
  </si>
  <si>
    <t>2,0390637</t>
  </si>
  <si>
    <t>24.19</t>
  </si>
  <si>
    <t>4,76046</t>
  </si>
  <si>
    <t>24.20</t>
  </si>
  <si>
    <t>100,287024</t>
  </si>
  <si>
    <t>1,85129</t>
  </si>
  <si>
    <t>403,58122</t>
  </si>
  <si>
    <t>35,729897</t>
  </si>
  <si>
    <t>21,104706</t>
  </si>
  <si>
    <t>9,8858886</t>
  </si>
  <si>
    <t>0,8886192</t>
  </si>
  <si>
    <t>17,031868</t>
  </si>
  <si>
    <t>39,5435544</t>
  </si>
  <si>
    <t>5,2761765</t>
  </si>
  <si>
    <t>2,6658576</t>
  </si>
  <si>
    <t>187,905935</t>
  </si>
  <si>
    <t>1,2773901</t>
  </si>
  <si>
    <t>37,0258</t>
  </si>
  <si>
    <t>0,00925645</t>
  </si>
  <si>
    <t>0,009811837</t>
  </si>
  <si>
    <t>25.15</t>
  </si>
  <si>
    <t>0,370258</t>
  </si>
  <si>
    <t>25.16</t>
  </si>
  <si>
    <t>9,8488628</t>
  </si>
  <si>
    <t>25.17</t>
  </si>
  <si>
    <t>34,619123</t>
  </si>
  <si>
    <t>E37-4-3-2</t>
  </si>
  <si>
    <t>УСТАНОВКИ АРМАТУРЫ ИЗ ОТДЕЛЬНЫХ СТЕРЖНЕЙ</t>
  </si>
  <si>
    <t>1,5062</t>
  </si>
  <si>
    <t>3435</t>
  </si>
  <si>
    <t>5173,797</t>
  </si>
  <si>
    <t>530</t>
  </si>
  <si>
    <t>798,286</t>
  </si>
  <si>
    <t>210</t>
  </si>
  <si>
    <t>316,302</t>
  </si>
  <si>
    <t>526</t>
  </si>
  <si>
    <t>792,2612</t>
  </si>
  <si>
    <t>12,0496</t>
  </si>
  <si>
    <t>003563</t>
  </si>
  <si>
    <t>ГОРЯЧЕКАТАННАЯ АРМАТУРНАЯ СТАЛЬ ПЕРИОДИЧЕСКОГО ПРОФИЛЯ КЛАССА А-III</t>
  </si>
  <si>
    <t>150,62</t>
  </si>
  <si>
    <t>0,948906</t>
  </si>
  <si>
    <t>0,210868</t>
  </si>
  <si>
    <t>ПРОЧИЕ РАБОТЫ</t>
  </si>
  <si>
    <t>3,8487</t>
  </si>
  <si>
    <t>342,5343</t>
  </si>
  <si>
    <t>22,630356</t>
  </si>
  <si>
    <t>396,4161</t>
  </si>
  <si>
    <t>25,2007</t>
  </si>
  <si>
    <t>1350,75752</t>
  </si>
  <si>
    <t>4,032112</t>
  </si>
  <si>
    <t>7,56021</t>
  </si>
  <si>
    <t>0,50401</t>
  </si>
  <si>
    <t>2,9131778</t>
  </si>
  <si>
    <t>1,5573909</t>
  </si>
  <si>
    <t>0,1663233</t>
  </si>
  <si>
    <t>0,907218</t>
  </si>
  <si>
    <t>1,1390626</t>
  </si>
  <si>
    <t>0,252005</t>
  </si>
  <si>
    <t>29.7</t>
  </si>
  <si>
    <t>0,1612832</t>
  </si>
  <si>
    <t>29.8</t>
  </si>
  <si>
    <t>0,3628872</t>
  </si>
  <si>
    <t>7,81222</t>
  </si>
  <si>
    <t>84,5282204</t>
  </si>
  <si>
    <t>22,1867048</t>
  </si>
  <si>
    <t>2,5780326</t>
  </si>
  <si>
    <t>32,7332018</t>
  </si>
  <si>
    <t>15,7025622</t>
  </si>
  <si>
    <t>3,90611</t>
  </si>
  <si>
    <t>5,7810428</t>
  </si>
  <si>
    <t>2,4217882</t>
  </si>
  <si>
    <t>0,54</t>
  </si>
  <si>
    <t>109,836</t>
  </si>
  <si>
    <t>0,459</t>
  </si>
  <si>
    <t>001416</t>
  </si>
  <si>
    <t>0,3996</t>
  </si>
  <si>
    <t>31.6</t>
  </si>
  <si>
    <t>0,0378</t>
  </si>
  <si>
    <t>31.7</t>
  </si>
  <si>
    <t>012104</t>
  </si>
  <si>
    <t>РАСТВОР ГОТОВЫЙ КЛАДОЧНЫЙ ТЯЖЕЛЫЙ ЦЕМЕНТНЫЙ, МАРКА: 100</t>
  </si>
  <si>
    <t>31.8</t>
  </si>
  <si>
    <t>014949</t>
  </si>
  <si>
    <t>ТОЛЬ</t>
  </si>
  <si>
    <t>127,98</t>
  </si>
  <si>
    <t>31.9</t>
  </si>
  <si>
    <t>0,062424</t>
  </si>
  <si>
    <t>0,033372</t>
  </si>
  <si>
    <t>0,003564</t>
  </si>
  <si>
    <t>0,024408</t>
  </si>
  <si>
    <t>0,003456</t>
  </si>
  <si>
    <t>0,007776</t>
  </si>
  <si>
    <t>E41-1-16-8</t>
  </si>
  <si>
    <t>ПРИГОТОВЛЕНИЕ ГОРЯЧЕЙ АСФАЛЬТОВОЙ МАСТИКИ АМ-3</t>
  </si>
  <si>
    <t>0,4482</t>
  </si>
  <si>
    <t>10,9</t>
  </si>
  <si>
    <t>4,88538</t>
  </si>
  <si>
    <t>0,372006</t>
  </si>
  <si>
    <t>0,147906</t>
  </si>
  <si>
    <t>33.4</t>
  </si>
  <si>
    <t>4,81</t>
  </si>
  <si>
    <t>2,155842</t>
  </si>
  <si>
    <t>33.5</t>
  </si>
  <si>
    <t>0,2241</t>
  </si>
  <si>
    <t>33.6</t>
  </si>
  <si>
    <t>0,188244</t>
  </si>
  <si>
    <t>33.7</t>
  </si>
  <si>
    <t>044411</t>
  </si>
  <si>
    <t>ПОРОШОК КВАРЦЕВЫЙ</t>
  </si>
  <si>
    <t>0,233064</t>
  </si>
  <si>
    <t>3,9188</t>
  </si>
  <si>
    <t>404,067468</t>
  </si>
  <si>
    <t>1,685084</t>
  </si>
  <si>
    <t>0,666196</t>
  </si>
  <si>
    <t>1,018888</t>
  </si>
  <si>
    <t>0,039188</t>
  </si>
  <si>
    <t>15,6752</t>
  </si>
  <si>
    <t>2,899912</t>
  </si>
  <si>
    <t>E22-1-21-3</t>
  </si>
  <si>
    <t>УКЛАДКА ТРУБОПРОВОДОВ ИЗ ПОЛИЭТИЛЕНОВЫХ ТРУБ ДИАМЕТРОМ 100 ММ</t>
  </si>
  <si>
    <t>0,702</t>
  </si>
  <si>
    <t>194</t>
  </si>
  <si>
    <t>136,188</t>
  </si>
  <si>
    <t>30,8</t>
  </si>
  <si>
    <t>21,6216</t>
  </si>
  <si>
    <t>000116</t>
  </si>
  <si>
    <t>АГРЕГАТЫ ДЛЯ СВАРКИ ПОЛИЭТИЛЕНОВЫХ ТРУБ</t>
  </si>
  <si>
    <t>28,54</t>
  </si>
  <si>
    <t>20,03508</t>
  </si>
  <si>
    <t>0,2457</t>
  </si>
  <si>
    <t>1,39</t>
  </si>
  <si>
    <t>0,97578</t>
  </si>
  <si>
    <t>0,36504</t>
  </si>
  <si>
    <t>002700</t>
  </si>
  <si>
    <t>УСТАНОВКИ ДЛЯ ГИДРАВЛИЧЕСКИХ ИСПЫТАНИЙ ТРУБОПРОВОДОВ, ДАВЛЕНИЕ НАГНЕТАНИЯ НИЗКОЕ 0,1 (1) МПА (КГС/СМ2), ВЫСОКОЕ 10 (100) МПА (КГС/СМ2) ПРИ РАБОТЕ ОТ ПЕРЕДВИЖНЫХ ЭЛЕКТРОСТАНЦИЙ</t>
  </si>
  <si>
    <t>8,424</t>
  </si>
  <si>
    <t>12,636</t>
  </si>
  <si>
    <t>35.9</t>
  </si>
  <si>
    <t>031929</t>
  </si>
  <si>
    <t>ТОЛЬ С КРУПНОЗЕРНИСТОЙ ПОСЫПКОЙ ГИДРОИЗОЛЯЦИОННЫЙ МАРКИ ТГ-350</t>
  </si>
  <si>
    <t>0,30888</t>
  </si>
  <si>
    <t>35.10</t>
  </si>
  <si>
    <t>045086</t>
  </si>
  <si>
    <t>1010</t>
  </si>
  <si>
    <t>709,02</t>
  </si>
  <si>
    <t>E10-1-10-2</t>
  </si>
  <si>
    <t>УСТАНОВКА ЭЛЕМЕНТОВ КАРКАСА ИЗ БРЕВЕН И ПЛАСТИН</t>
  </si>
  <si>
    <t>3,51</t>
  </si>
  <si>
    <t>70,551</t>
  </si>
  <si>
    <t>0,38</t>
  </si>
  <si>
    <t>1,3338</t>
  </si>
  <si>
    <t>001556</t>
  </si>
  <si>
    <t>1,053</t>
  </si>
  <si>
    <t>0,00186</t>
  </si>
  <si>
    <t>0,0065286</t>
  </si>
  <si>
    <t>0,0185</t>
  </si>
  <si>
    <t>0,064935</t>
  </si>
  <si>
    <t>0,001755</t>
  </si>
  <si>
    <t>1,6146</t>
  </si>
  <si>
    <t>032502</t>
  </si>
  <si>
    <t>ПОКОВКИ ИЗ КВАДРАТНЫХ ЗАГОТОВОК МАССОЙ 2,825 КГ</t>
  </si>
  <si>
    <t>0,0042</t>
  </si>
  <si>
    <t>0,014742</t>
  </si>
  <si>
    <t>2,5272</t>
  </si>
  <si>
    <t>36.12</t>
  </si>
  <si>
    <t>036010</t>
  </si>
  <si>
    <t>ЛЕСОМАТЕРИАЛЫ КРУГЛЫЕ ХВОЙНЫХ ПОРОД. ЛЕСОМАТЕРИАЛЫ ДЛЯ ВЫРАБОТКИ ПИЛОМАТЕРИАЛОВ И ЗАГОТОВОК (ПЛАСТИНЫ) ТОЛЩИНОЙ 20-24 СМ II СОРТА</t>
  </si>
  <si>
    <t>1,1583</t>
  </si>
  <si>
    <t>36.13</t>
  </si>
  <si>
    <t>036077</t>
  </si>
  <si>
    <t>ПИЛОМАТЕРИАЛЫ ХВОЙНЫХ ПОРОД. ДОСКИ НЕОБРЕЗНЫЕ ДЛИНОЙ 4-6,5 М, ВСЕ ШИРИНЫ, ТОЛЩИНОЙ 32-40 ММ III СОРТА</t>
  </si>
  <si>
    <t>0,12285</t>
  </si>
  <si>
    <t>36.14</t>
  </si>
  <si>
    <t>045089</t>
  </si>
  <si>
    <t>ПАСТА АНТИСЕПТИЧЕСКАЯ</t>
  </si>
  <si>
    <t>0,00107</t>
  </si>
  <si>
    <t>0,0037557</t>
  </si>
  <si>
    <t>2405-11615</t>
  </si>
  <si>
    <t>ШЛАНГ Д-150ММ</t>
  </si>
  <si>
    <t>292,5</t>
  </si>
  <si>
    <t>130-922-1</t>
  </si>
  <si>
    <t>ТРОЙНИК ПРЯМОЙ ЧУГУННЫЙ 100Х100</t>
  </si>
  <si>
    <t>С231-107</t>
  </si>
  <si>
    <t>НАСОСЫ ДЛЯ ВОДОПОНИЖЕНИЯ И ВОДООТЛИВА 11 КВТ</t>
  </si>
  <si>
    <t>480</t>
  </si>
  <si>
    <t>ТРУБЫ ПОЛИЭТИЛЕНОВЫЕ д-100 мм</t>
  </si>
  <si>
    <t xml:space="preserve">Қурилиш материаллари ва конструкциялари ташиш харажатлари билан </t>
  </si>
  <si>
    <t>Жиҳозлар</t>
  </si>
  <si>
    <t>Машина ва механизмлар</t>
  </si>
  <si>
    <t>Иш ҳақи</t>
  </si>
  <si>
    <t xml:space="preserve">Жами (қўшилган қиймат солиғисиз) </t>
  </si>
  <si>
    <t>Пудратчи бошка харажатлари -22,16%</t>
  </si>
  <si>
    <t>Жами</t>
  </si>
  <si>
    <t>Обьект сугуртаси</t>
  </si>
  <si>
    <t>Жами қурилиш-монтаж ишлари қиймати</t>
  </si>
  <si>
    <t>тн</t>
  </si>
  <si>
    <t>Қўшилган қиймат солиғи-12%</t>
  </si>
  <si>
    <t>маш-ч</t>
  </si>
  <si>
    <t>итого прямые затраты</t>
  </si>
  <si>
    <t>Арматура</t>
  </si>
  <si>
    <t>м3</t>
  </si>
  <si>
    <t>Тупроқ ишлари</t>
  </si>
  <si>
    <t>Бетон ишлари</t>
  </si>
  <si>
    <t>минг. м3</t>
  </si>
  <si>
    <t>ЛОКАЛЬНО-РЕСУРСНАЯ ВЕДОМОСТЬ № 1-1</t>
  </si>
  <si>
    <t>на ремонтно-восстановительных работы межхозяйственного коллектора  Д-2 территории Киллисай Гузарского района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</si>
</sst>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000"/>
    <numFmt numFmtId="167" formatCode="0.000"/>
    <numFmt numFmtId="168" formatCode="_-* #,##0.00_c_-;\-* #,##0.00_c_-;_-* &quot;-&quot;??_c_-;_-@_-"/>
  </numFmts>
  <fonts count="8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8"/>
      <color rgb="FF000080"/>
      <name val="Arial"/>
      <family val="2"/>
      <charset val="204"/>
    </font>
    <font>
      <i/>
      <sz val="8"/>
      <color rgb="FF0000FF"/>
      <name val="Arial"/>
      <family val="2"/>
      <charset val="204"/>
    </font>
    <font>
      <b/>
      <sz val="7"/>
      <color rgb="FF000080"/>
      <name val="Arial"/>
      <family val="2"/>
      <charset val="204"/>
    </font>
    <font>
      <i/>
      <sz val="7"/>
      <color rgb="FF0000FF"/>
      <name val="Arial"/>
      <family val="2"/>
      <charset val="204"/>
    </font>
    <font>
      <b/>
      <i/>
      <sz val="8"/>
      <color rgb="FF0000FF"/>
      <name val="Arial"/>
      <family val="2"/>
      <charset val="204"/>
    </font>
    <font>
      <sz val="10"/>
      <name val="Times New Roman Cyr"/>
      <family val="1"/>
      <charset val="204"/>
    </font>
    <font>
      <b/>
      <sz val="8"/>
      <name val="Times New Roman Cyr"/>
      <family val="1"/>
      <charset val="204"/>
    </font>
    <font>
      <sz val="8"/>
      <color rgb="FF800080"/>
      <name val="Times New Roman Cyr"/>
      <family val="1"/>
      <charset val="204"/>
    </font>
    <font>
      <sz val="8"/>
      <color rgb="FF003300"/>
      <name val="Times New Roman Cyr"/>
      <family val="1"/>
      <charset val="204"/>
    </font>
    <font>
      <sz val="8"/>
      <color rgb="FF000080"/>
      <name val="Times New Roman Cyr"/>
      <family val="1"/>
      <charset val="204"/>
    </font>
    <font>
      <sz val="8"/>
      <name val="Times New Roman Cyr"/>
      <family val="1"/>
      <charset val="204"/>
    </font>
    <font>
      <b/>
      <sz val="8"/>
      <color rgb="FF000080"/>
      <name val="Times New Roman Cyr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8"/>
      <name val="Times New Roman Cyr"/>
      <charset val="204"/>
    </font>
    <font>
      <i/>
      <sz val="14"/>
      <color rgb="FF0000FF"/>
      <name val="Arial"/>
      <family val="2"/>
      <charset val="204"/>
    </font>
    <font>
      <sz val="12"/>
      <name val="Arial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color theme="1"/>
      <name val="Arial Cyr"/>
      <family val="2"/>
      <charset val="204"/>
    </font>
    <font>
      <sz val="10"/>
      <color indexed="8"/>
      <name val="Arial Cyr"/>
      <family val="2"/>
      <charset val="204"/>
    </font>
    <font>
      <sz val="11"/>
      <color indexed="9"/>
      <name val="Calibri"/>
      <family val="2"/>
      <charset val="204"/>
    </font>
    <font>
      <sz val="10"/>
      <color theme="0"/>
      <name val="Arial Cyr"/>
      <family val="2"/>
      <charset val="204"/>
    </font>
    <font>
      <sz val="10"/>
      <color indexed="9"/>
      <name val="Arial Cyr"/>
      <family val="2"/>
      <charset val="204"/>
    </font>
    <font>
      <sz val="11"/>
      <color indexed="62"/>
      <name val="Calibri"/>
      <family val="2"/>
      <charset val="204"/>
    </font>
    <font>
      <sz val="10"/>
      <color rgb="FF3F3F76"/>
      <name val="Arial Cyr"/>
      <family val="2"/>
      <charset val="204"/>
    </font>
    <font>
      <b/>
      <sz val="11"/>
      <color indexed="63"/>
      <name val="Calibri"/>
      <family val="2"/>
      <charset val="204"/>
    </font>
    <font>
      <b/>
      <sz val="10"/>
      <color rgb="FF3F3F3F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1"/>
      <color indexed="52"/>
      <name val="Calibri"/>
      <family val="2"/>
      <charset val="204"/>
    </font>
    <font>
      <b/>
      <sz val="10"/>
      <color rgb="FFFA7D00"/>
      <name val="Arial Cyr"/>
      <family val="2"/>
      <charset val="204"/>
    </font>
    <font>
      <b/>
      <sz val="10"/>
      <color indexed="52"/>
      <name val="Arial Cyr"/>
      <family val="2"/>
      <charset val="204"/>
    </font>
    <font>
      <sz val="10"/>
      <name val="Times New Roman Cyr"/>
      <charset val="204"/>
    </font>
    <font>
      <b/>
      <sz val="15"/>
      <color indexed="56"/>
      <name val="Calibri"/>
      <family val="2"/>
      <charset val="204"/>
    </font>
    <font>
      <b/>
      <sz val="15"/>
      <color theme="3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Calibri"/>
      <family val="2"/>
      <charset val="204"/>
    </font>
    <font>
      <b/>
      <sz val="13"/>
      <color theme="3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theme="3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0"/>
      <color theme="1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theme="0"/>
      <name val="Arial Cyr"/>
      <family val="2"/>
      <charset val="204"/>
    </font>
    <font>
      <sz val="11"/>
      <color indexed="60"/>
      <name val="Calibri"/>
      <family val="2"/>
      <charset val="204"/>
    </font>
    <font>
      <sz val="10"/>
      <color rgb="FF9C6500"/>
      <name val="Arial Cyr"/>
      <family val="2"/>
      <charset val="204"/>
    </font>
    <font>
      <sz val="11"/>
      <color indexed="20"/>
      <name val="Calibri"/>
      <family val="2"/>
      <charset val="204"/>
    </font>
    <font>
      <sz val="10"/>
      <color rgb="FF9C0006"/>
      <name val="Arial Cyr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rgb="FF7F7F7F"/>
      <name val="Arial Cyr"/>
      <family val="2"/>
      <charset val="204"/>
    </font>
    <font>
      <sz val="11"/>
      <color indexed="52"/>
      <name val="Calibri"/>
      <family val="2"/>
      <charset val="204"/>
    </font>
    <font>
      <sz val="10"/>
      <color rgb="FFFA7D00"/>
      <name val="Arial Cyr"/>
      <family val="2"/>
      <charset val="204"/>
    </font>
    <font>
      <sz val="11"/>
      <color indexed="10"/>
      <name val="Calibri"/>
      <family val="2"/>
      <charset val="204"/>
    </font>
    <font>
      <sz val="10"/>
      <color rgb="FFFF0000"/>
      <name val="Arial Cyr"/>
      <family val="2"/>
      <charset val="204"/>
    </font>
    <font>
      <sz val="10"/>
      <color indexed="10"/>
      <name val="Arial Cyr"/>
      <family val="2"/>
      <charset val="204"/>
    </font>
    <font>
      <sz val="11"/>
      <color indexed="17"/>
      <name val="Calibri"/>
      <family val="2"/>
      <charset val="204"/>
    </font>
    <font>
      <sz val="10"/>
      <color rgb="FF006100"/>
      <name val="Arial Cyr"/>
      <family val="2"/>
      <charset val="204"/>
    </font>
    <font>
      <sz val="11"/>
      <color theme="0"/>
      <name val="Calibri"/>
      <family val="2"/>
      <scheme val="minor"/>
    </font>
    <font>
      <sz val="14"/>
      <color rgb="FF00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</fonts>
  <fills count="5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1747">
    <xf numFmtId="0" fontId="0" fillId="0" borderId="0"/>
    <xf numFmtId="0" fontId="3" fillId="0" borderId="0"/>
    <xf numFmtId="0" fontId="11" fillId="0" borderId="0"/>
    <xf numFmtId="0" fontId="11" fillId="0" borderId="0"/>
    <xf numFmtId="0" fontId="38" fillId="0" borderId="0"/>
    <xf numFmtId="0" fontId="39" fillId="0" borderId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3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4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5" borderId="0" applyNumberFormat="0" applyBorder="0" applyAlignment="0" applyProtection="0"/>
    <xf numFmtId="0" fontId="1" fillId="12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3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4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6" borderId="0" applyNumberFormat="0" applyBorder="0" applyAlignment="0" applyProtection="0"/>
    <xf numFmtId="0" fontId="1" fillId="16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3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7" borderId="0" applyNumberFormat="0" applyBorder="0" applyAlignment="0" applyProtection="0"/>
    <xf numFmtId="0" fontId="1" fillId="20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3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8" borderId="0" applyNumberFormat="0" applyBorder="0" applyAlignment="0" applyProtection="0"/>
    <xf numFmtId="0" fontId="1" fillId="24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3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39" borderId="0" applyNumberFormat="0" applyBorder="0" applyAlignment="0" applyProtection="0"/>
    <xf numFmtId="0" fontId="1" fillId="28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3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4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0" borderId="0" applyNumberFormat="0" applyBorder="0" applyAlignment="0" applyProtection="0"/>
    <xf numFmtId="0" fontId="1" fillId="32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3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4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1" borderId="0" applyNumberFormat="0" applyBorder="0" applyAlignment="0" applyProtection="0"/>
    <xf numFmtId="0" fontId="1" fillId="13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3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2" borderId="0" applyNumberFormat="0" applyBorder="0" applyAlignment="0" applyProtection="0"/>
    <xf numFmtId="0" fontId="1" fillId="17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3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4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43" borderId="0" applyNumberFormat="0" applyBorder="0" applyAlignment="0" applyProtection="0"/>
    <xf numFmtId="0" fontId="1" fillId="21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3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38" borderId="0" applyNumberFormat="0" applyBorder="0" applyAlignment="0" applyProtection="0"/>
    <xf numFmtId="0" fontId="1" fillId="25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3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1" borderId="0" applyNumberFormat="0" applyBorder="0" applyAlignment="0" applyProtection="0"/>
    <xf numFmtId="0" fontId="1" fillId="29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3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2" fillId="44" borderId="0" applyNumberFormat="0" applyBorder="0" applyAlignment="0" applyProtection="0"/>
    <xf numFmtId="0" fontId="1" fillId="33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46" fillId="14" borderId="0" applyNumberFormat="0" applyBorder="0" applyAlignment="0" applyProtection="0"/>
    <xf numFmtId="0" fontId="35" fillId="14" borderId="0" applyNumberFormat="0" applyBorder="0" applyAlignment="0" applyProtection="0"/>
    <xf numFmtId="0" fontId="47" fillId="45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5" borderId="0" applyNumberFormat="0" applyBorder="0" applyAlignment="0" applyProtection="0"/>
    <xf numFmtId="0" fontId="35" fillId="14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46" fillId="18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2" borderId="0" applyNumberFormat="0" applyBorder="0" applyAlignment="0" applyProtection="0"/>
    <xf numFmtId="0" fontId="35" fillId="18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46" fillId="22" borderId="0" applyNumberFormat="0" applyBorder="0" applyAlignment="0" applyProtection="0"/>
    <xf numFmtId="0" fontId="35" fillId="22" borderId="0" applyNumberFormat="0" applyBorder="0" applyAlignment="0" applyProtection="0"/>
    <xf numFmtId="0" fontId="47" fillId="43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3" borderId="0" applyNumberFormat="0" applyBorder="0" applyAlignment="0" applyProtection="0"/>
    <xf numFmtId="0" fontId="35" fillId="22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46" fillId="26" borderId="0" applyNumberFormat="0" applyBorder="0" applyAlignment="0" applyProtection="0"/>
    <xf numFmtId="0" fontId="35" fillId="26" borderId="0" applyNumberFormat="0" applyBorder="0" applyAlignment="0" applyProtection="0"/>
    <xf numFmtId="0" fontId="47" fillId="4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6" borderId="0" applyNumberFormat="0" applyBorder="0" applyAlignment="0" applyProtection="0"/>
    <xf numFmtId="0" fontId="35" fillId="26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46" fillId="30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7" borderId="0" applyNumberFormat="0" applyBorder="0" applyAlignment="0" applyProtection="0"/>
    <xf numFmtId="0" fontId="35" fillId="30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46" fillId="34" borderId="0" applyNumberFormat="0" applyBorder="0" applyAlignment="0" applyProtection="0"/>
    <xf numFmtId="0" fontId="35" fillId="34" borderId="0" applyNumberFormat="0" applyBorder="0" applyAlignment="0" applyProtection="0"/>
    <xf numFmtId="0" fontId="47" fillId="48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8" borderId="0" applyNumberFormat="0" applyBorder="0" applyAlignment="0" applyProtection="0"/>
    <xf numFmtId="0" fontId="35" fillId="34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46" fillId="11" borderId="0" applyNumberFormat="0" applyBorder="0" applyAlignment="0" applyProtection="0"/>
    <xf numFmtId="0" fontId="35" fillId="11" borderId="0" applyNumberFormat="0" applyBorder="0" applyAlignment="0" applyProtection="0"/>
    <xf numFmtId="0" fontId="47" fillId="49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49" borderId="0" applyNumberFormat="0" applyBorder="0" applyAlignment="0" applyProtection="0"/>
    <xf numFmtId="0" fontId="35" fillId="11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46" fillId="15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0" borderId="0" applyNumberFormat="0" applyBorder="0" applyAlignment="0" applyProtection="0"/>
    <xf numFmtId="0" fontId="35" fillId="15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46" fillId="19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51" borderId="0" applyNumberFormat="0" applyBorder="0" applyAlignment="0" applyProtection="0"/>
    <xf numFmtId="0" fontId="35" fillId="19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46" fillId="23" borderId="0" applyNumberFormat="0" applyBorder="0" applyAlignment="0" applyProtection="0"/>
    <xf numFmtId="0" fontId="35" fillId="23" borderId="0" applyNumberFormat="0" applyBorder="0" applyAlignment="0" applyProtection="0"/>
    <xf numFmtId="0" fontId="47" fillId="46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6" borderId="0" applyNumberFormat="0" applyBorder="0" applyAlignment="0" applyProtection="0"/>
    <xf numFmtId="0" fontId="35" fillId="23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46" fillId="2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47" borderId="0" applyNumberFormat="0" applyBorder="0" applyAlignment="0" applyProtection="0"/>
    <xf numFmtId="0" fontId="35" fillId="27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46" fillId="31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5" fillId="52" borderId="0" applyNumberFormat="0" applyBorder="0" applyAlignment="0" applyProtection="0"/>
    <xf numFmtId="0" fontId="35" fillId="31" borderId="0" applyNumberFormat="0" applyBorder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28" fillId="7" borderId="8" applyNumberFormat="0" applyAlignment="0" applyProtection="0"/>
    <xf numFmtId="0" fontId="28" fillId="7" borderId="8" applyNumberFormat="0" applyAlignment="0" applyProtection="0"/>
    <xf numFmtId="0" fontId="28" fillId="7" borderId="8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49" fillId="7" borderId="8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48" fillId="40" borderId="17" applyNumberFormat="0" applyAlignment="0" applyProtection="0"/>
    <xf numFmtId="0" fontId="28" fillId="7" borderId="8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29" fillId="8" borderId="9" applyNumberFormat="0" applyAlignment="0" applyProtection="0"/>
    <xf numFmtId="0" fontId="29" fillId="8" borderId="9" applyNumberFormat="0" applyAlignment="0" applyProtection="0"/>
    <xf numFmtId="0" fontId="29" fillId="8" borderId="9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51" fillId="8" borderId="9" applyNumberFormat="0" applyAlignment="0" applyProtection="0"/>
    <xf numFmtId="0" fontId="29" fillId="8" borderId="9" applyNumberFormat="0" applyAlignment="0" applyProtection="0"/>
    <xf numFmtId="0" fontId="52" fillId="53" borderId="18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0" fillId="53" borderId="18" applyNumberFormat="0" applyAlignment="0" applyProtection="0"/>
    <xf numFmtId="0" fontId="29" fillId="8" borderId="9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30" fillId="8" borderId="8" applyNumberFormat="0" applyAlignment="0" applyProtection="0"/>
    <xf numFmtId="0" fontId="30" fillId="8" borderId="8" applyNumberFormat="0" applyAlignment="0" applyProtection="0"/>
    <xf numFmtId="0" fontId="30" fillId="8" borderId="8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54" fillId="8" borderId="8" applyNumberFormat="0" applyAlignment="0" applyProtection="0"/>
    <xf numFmtId="0" fontId="30" fillId="8" borderId="8" applyNumberFormat="0" applyAlignment="0" applyProtection="0"/>
    <xf numFmtId="0" fontId="55" fillId="53" borderId="17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0" fontId="53" fillId="53" borderId="17" applyNumberFormat="0" applyAlignment="0" applyProtection="0"/>
    <xf numFmtId="0" fontId="30" fillId="8" borderId="8" applyNumberFormat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58" fillId="0" borderId="5" applyNumberFormat="0" applyFill="0" applyAlignment="0" applyProtection="0"/>
    <xf numFmtId="0" fontId="22" fillId="0" borderId="5" applyNumberFormat="0" applyFill="0" applyAlignment="0" applyProtection="0"/>
    <xf numFmtId="0" fontId="59" fillId="0" borderId="19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57" fillId="0" borderId="19" applyNumberFormat="0" applyFill="0" applyAlignment="0" applyProtection="0"/>
    <xf numFmtId="0" fontId="22" fillId="0" borderId="5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61" fillId="0" borderId="6" applyNumberFormat="0" applyFill="0" applyAlignment="0" applyProtection="0"/>
    <xf numFmtId="0" fontId="23" fillId="0" borderId="6" applyNumberFormat="0" applyFill="0" applyAlignment="0" applyProtection="0"/>
    <xf numFmtId="0" fontId="62" fillId="0" borderId="20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0" fillId="0" borderId="20" applyNumberFormat="0" applyFill="0" applyAlignment="0" applyProtection="0"/>
    <xf numFmtId="0" fontId="23" fillId="0" borderId="6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64" fillId="0" borderId="7" applyNumberFormat="0" applyFill="0" applyAlignment="0" applyProtection="0"/>
    <xf numFmtId="0" fontId="24" fillId="0" borderId="7" applyNumberFormat="0" applyFill="0" applyAlignment="0" applyProtection="0"/>
    <xf numFmtId="0" fontId="65" fillId="0" borderId="21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21" applyNumberFormat="0" applyFill="0" applyAlignment="0" applyProtection="0"/>
    <xf numFmtId="0" fontId="24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67" fillId="0" borderId="13" applyNumberFormat="0" applyFill="0" applyAlignment="0" applyProtection="0"/>
    <xf numFmtId="0" fontId="2" fillId="0" borderId="13" applyNumberFormat="0" applyFill="0" applyAlignment="0" applyProtection="0"/>
    <xf numFmtId="0" fontId="68" fillId="0" borderId="22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6" fillId="0" borderId="22" applyNumberFormat="0" applyFill="0" applyAlignment="0" applyProtection="0"/>
    <xf numFmtId="0" fontId="2" fillId="0" borderId="13" applyNumberFormat="0" applyFill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32" fillId="9" borderId="11" applyNumberFormat="0" applyAlignment="0" applyProtection="0"/>
    <xf numFmtId="0" fontId="32" fillId="9" borderId="11" applyNumberFormat="0" applyAlignment="0" applyProtection="0"/>
    <xf numFmtId="0" fontId="32" fillId="9" borderId="11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70" fillId="9" borderId="11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69" fillId="54" borderId="23" applyNumberFormat="0" applyAlignment="0" applyProtection="0"/>
    <xf numFmtId="0" fontId="32" fillId="9" borderId="11" applyNumberFormat="0" applyAlignment="0" applyProtection="0"/>
    <xf numFmtId="0" fontId="21" fillId="0" borderId="0" applyNumberFormat="0" applyFill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72" fillId="6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71" fillId="55" borderId="0" applyNumberFormat="0" applyBorder="0" applyAlignment="0" applyProtection="0"/>
    <xf numFmtId="0" fontId="27" fillId="6" borderId="0" applyNumberFormat="0" applyBorder="0" applyAlignment="0" applyProtection="0"/>
    <xf numFmtId="0" fontId="1" fillId="0" borderId="0"/>
    <xf numFmtId="0" fontId="56" fillId="0" borderId="0"/>
    <xf numFmtId="0" fontId="56" fillId="0" borderId="0"/>
    <xf numFmtId="0" fontId="11" fillId="0" borderId="0"/>
    <xf numFmtId="0" fontId="2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3" fillId="0" borderId="0"/>
    <xf numFmtId="0" fontId="3" fillId="0" borderId="0"/>
    <xf numFmtId="0" fontId="56" fillId="0" borderId="0"/>
    <xf numFmtId="0" fontId="56" fillId="0" borderId="0"/>
    <xf numFmtId="0" fontId="1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74" fillId="5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3" fillId="36" borderId="0" applyNumberFormat="0" applyBorder="0" applyAlignment="0" applyProtection="0"/>
    <xf numFmtId="0" fontId="26" fillId="5" borderId="0" applyNumberFormat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1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56" borderId="24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1" fillId="10" borderId="12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4" fillId="56" borderId="24" applyNumberFormat="0" applyFont="0" applyAlignment="0" applyProtection="0"/>
    <xf numFmtId="0" fontId="44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42" fillId="10" borderId="12" applyNumberFormat="0" applyFont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78" fillId="0" borderId="10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7" fillId="0" borderId="25" applyNumberFormat="0" applyFill="0" applyAlignment="0" applyProtection="0"/>
    <xf numFmtId="0" fontId="31" fillId="0" borderId="10" applyNumberFormat="0" applyFill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20" fillId="0" borderId="0" applyFont="0" applyFill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83" fillId="4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2" fillId="37" borderId="0" applyNumberFormat="0" applyBorder="0" applyAlignment="0" applyProtection="0"/>
    <xf numFmtId="0" fontId="25" fillId="4" borderId="0" applyNumberFormat="0" applyBorder="0" applyAlignment="0" applyProtection="0"/>
    <xf numFmtId="0" fontId="85" fillId="57" borderId="0">
      <alignment horizontal="center" vertical="top"/>
    </xf>
    <xf numFmtId="0" fontId="86" fillId="57" borderId="0">
      <alignment horizontal="center" vertical="top"/>
    </xf>
  </cellStyleXfs>
  <cellXfs count="136">
    <xf numFmtId="0" fontId="0" fillId="0" borderId="0" xfId="0"/>
    <xf numFmtId="0" fontId="5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top" wrapText="1"/>
    </xf>
    <xf numFmtId="0" fontId="6" fillId="0" borderId="4" xfId="1" applyFont="1" applyBorder="1" applyAlignment="1">
      <alignment horizontal="left" vertical="top" wrapText="1"/>
    </xf>
    <xf numFmtId="0" fontId="7" fillId="0" borderId="4" xfId="1" applyFont="1" applyBorder="1" applyAlignment="1">
      <alignment horizontal="center" vertical="top" wrapText="1"/>
    </xf>
    <xf numFmtId="0" fontId="7" fillId="0" borderId="4" xfId="1" applyFont="1" applyBorder="1" applyAlignment="1">
      <alignment horizontal="left" vertical="top" wrapText="1"/>
    </xf>
    <xf numFmtId="0" fontId="0" fillId="0" borderId="4" xfId="0" applyBorder="1"/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/>
    </xf>
    <xf numFmtId="0" fontId="12" fillId="0" borderId="4" xfId="2" applyFont="1" applyBorder="1" applyAlignment="1">
      <alignment horizontal="center" vertical="top" wrapText="1"/>
    </xf>
    <xf numFmtId="0" fontId="12" fillId="0" borderId="4" xfId="2" applyFont="1" applyBorder="1" applyAlignment="1">
      <alignment horizontal="left" vertical="top" wrapText="1"/>
    </xf>
    <xf numFmtId="49" fontId="13" fillId="0" borderId="4" xfId="2" applyNumberFormat="1" applyFont="1" applyBorder="1" applyAlignment="1">
      <alignment horizontal="center" vertical="top" wrapText="1"/>
    </xf>
    <xf numFmtId="0" fontId="13" fillId="0" borderId="4" xfId="2" applyFont="1" applyBorder="1" applyAlignment="1">
      <alignment horizontal="center" vertical="top" wrapText="1"/>
    </xf>
    <xf numFmtId="0" fontId="13" fillId="0" borderId="4" xfId="2" applyFont="1" applyBorder="1" applyAlignment="1">
      <alignment horizontal="left" vertical="top" wrapText="1" indent="2"/>
    </xf>
    <xf numFmtId="49" fontId="14" fillId="0" borderId="4" xfId="2" applyNumberFormat="1" applyFont="1" applyBorder="1" applyAlignment="1">
      <alignment horizontal="center" vertical="top" wrapText="1"/>
    </xf>
    <xf numFmtId="0" fontId="14" fillId="0" borderId="4" xfId="2" applyFont="1" applyBorder="1" applyAlignment="1">
      <alignment horizontal="center" vertical="top" wrapText="1"/>
    </xf>
    <xf numFmtId="0" fontId="14" fillId="0" borderId="4" xfId="2" applyFont="1" applyBorder="1" applyAlignment="1">
      <alignment horizontal="left" vertical="top" wrapText="1" indent="2"/>
    </xf>
    <xf numFmtId="49" fontId="15" fillId="0" borderId="4" xfId="2" applyNumberFormat="1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left" vertical="top" wrapText="1" indent="2"/>
    </xf>
    <xf numFmtId="0" fontId="16" fillId="0" borderId="4" xfId="2" applyFont="1" applyBorder="1" applyAlignment="1">
      <alignment horizontal="left" vertical="top" wrapText="1"/>
    </xf>
    <xf numFmtId="0" fontId="8" fillId="0" borderId="4" xfId="1" applyFont="1" applyBorder="1" applyAlignment="1">
      <alignment horizontal="center" vertical="top" wrapText="1"/>
    </xf>
    <xf numFmtId="0" fontId="8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center" vertical="top" wrapText="1"/>
    </xf>
    <xf numFmtId="0" fontId="9" fillId="0" borderId="4" xfId="1" applyFont="1" applyBorder="1" applyAlignment="1">
      <alignment horizontal="left" vertical="top" wrapText="1"/>
    </xf>
    <xf numFmtId="3" fontId="0" fillId="0" borderId="0" xfId="0" applyNumberFormat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3" fontId="19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3" fontId="0" fillId="0" borderId="4" xfId="0" applyNumberFormat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8" fillId="2" borderId="4" xfId="0" applyNumberFormat="1" applyFont="1" applyFill="1" applyBorder="1" applyAlignment="1">
      <alignment horizontal="center" vertical="center"/>
    </xf>
    <xf numFmtId="0" fontId="36" fillId="0" borderId="4" xfId="2" applyFont="1" applyBorder="1" applyAlignment="1">
      <alignment horizontal="left" vertical="top" wrapText="1"/>
    </xf>
    <xf numFmtId="0" fontId="12" fillId="0" borderId="2" xfId="2" applyFont="1" applyBorder="1" applyAlignment="1">
      <alignment vertical="top" wrapText="1"/>
    </xf>
    <xf numFmtId="0" fontId="12" fillId="0" borderId="3" xfId="2" applyFont="1" applyBorder="1" applyAlignment="1">
      <alignment vertical="top" wrapText="1"/>
    </xf>
    <xf numFmtId="0" fontId="12" fillId="0" borderId="1" xfId="2" applyFont="1" applyBorder="1" applyAlignment="1">
      <alignment vertical="top" wrapText="1"/>
    </xf>
    <xf numFmtId="3" fontId="18" fillId="3" borderId="4" xfId="0" applyNumberFormat="1" applyFont="1" applyFill="1" applyBorder="1" applyAlignment="1">
      <alignment horizontal="center" vertical="center"/>
    </xf>
    <xf numFmtId="3" fontId="19" fillId="3" borderId="4" xfId="0" applyNumberFormat="1" applyFont="1" applyFill="1" applyBorder="1" applyAlignment="1">
      <alignment horizontal="center" vertical="center"/>
    </xf>
    <xf numFmtId="3" fontId="0" fillId="0" borderId="0" xfId="0" applyNumberFormat="1"/>
    <xf numFmtId="3" fontId="2" fillId="0" borderId="4" xfId="0" applyNumberFormat="1" applyFont="1" applyBorder="1" applyAlignment="1">
      <alignment horizontal="center" vertical="center"/>
    </xf>
    <xf numFmtId="0" fontId="37" fillId="0" borderId="4" xfId="1" applyFont="1" applyFill="1" applyBorder="1" applyAlignment="1">
      <alignment horizontal="left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right"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3" borderId="15" xfId="0" applyFont="1" applyFill="1" applyBorder="1" applyAlignment="1">
      <alignment horizontal="center" vertical="top" wrapText="1"/>
    </xf>
    <xf numFmtId="0" fontId="41" fillId="3" borderId="4" xfId="4" applyFont="1" applyFill="1" applyBorder="1" applyAlignment="1">
      <alignment horizontal="left" vertical="center" wrapText="1"/>
    </xf>
    <xf numFmtId="0" fontId="40" fillId="3" borderId="4" xfId="4" applyFont="1" applyFill="1" applyBorder="1" applyAlignment="1">
      <alignment horizontal="left" vertical="center" wrapText="1"/>
    </xf>
    <xf numFmtId="3" fontId="84" fillId="0" borderId="0" xfId="0" applyNumberFormat="1" applyFont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left" vertical="top" wrapText="1"/>
    </xf>
    <xf numFmtId="0" fontId="8" fillId="0" borderId="4" xfId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top" wrapText="1"/>
    </xf>
    <xf numFmtId="0" fontId="7" fillId="0" borderId="4" xfId="1" applyFont="1" applyFill="1" applyBorder="1" applyAlignment="1">
      <alignment horizontal="left" vertical="top" wrapText="1"/>
    </xf>
    <xf numFmtId="0" fontId="7" fillId="0" borderId="4" xfId="1" applyFont="1" applyFill="1" applyBorder="1" applyAlignment="1">
      <alignment horizontal="center" vertical="center" wrapText="1"/>
    </xf>
    <xf numFmtId="0" fontId="0" fillId="0" borderId="0" xfId="0" applyFill="1"/>
    <xf numFmtId="0" fontId="7" fillId="0" borderId="15" xfId="0" applyFont="1" applyFill="1" applyBorder="1" applyAlignment="1">
      <alignment horizontal="center" vertical="top" wrapText="1"/>
    </xf>
    <xf numFmtId="0" fontId="7" fillId="0" borderId="16" xfId="0" applyFont="1" applyFill="1" applyBorder="1" applyAlignment="1">
      <alignment horizontal="center" vertical="top" wrapText="1"/>
    </xf>
    <xf numFmtId="0" fontId="7" fillId="0" borderId="16" xfId="0" applyFont="1" applyFill="1" applyBorder="1" applyAlignment="1">
      <alignment horizontal="left" vertical="top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right" vertical="top" wrapText="1"/>
    </xf>
    <xf numFmtId="49" fontId="13" fillId="0" borderId="4" xfId="2" applyNumberFormat="1" applyFont="1" applyFill="1" applyBorder="1" applyAlignment="1">
      <alignment horizontal="center" vertical="top" wrapText="1"/>
    </xf>
    <xf numFmtId="0" fontId="13" fillId="0" borderId="4" xfId="2" applyFont="1" applyFill="1" applyBorder="1" applyAlignment="1">
      <alignment horizontal="center" vertical="top" wrapText="1"/>
    </xf>
    <xf numFmtId="0" fontId="13" fillId="0" borderId="4" xfId="2" applyFont="1" applyFill="1" applyBorder="1" applyAlignment="1">
      <alignment horizontal="left" vertical="top" wrapText="1" indent="2"/>
    </xf>
    <xf numFmtId="0" fontId="13" fillId="0" borderId="4" xfId="2" applyFont="1" applyFill="1" applyBorder="1" applyAlignment="1">
      <alignment horizontal="center" vertical="center" wrapText="1"/>
    </xf>
    <xf numFmtId="0" fontId="13" fillId="0" borderId="4" xfId="2" applyFont="1" applyFill="1" applyBorder="1" applyAlignment="1">
      <alignment horizontal="center" vertical="center"/>
    </xf>
    <xf numFmtId="0" fontId="17" fillId="2" borderId="4" xfId="2" applyFont="1" applyFill="1" applyBorder="1" applyAlignment="1">
      <alignment vertical="top" wrapText="1"/>
    </xf>
    <xf numFmtId="0" fontId="0" fillId="0" borderId="0" xfId="0" applyAlignment="1">
      <alignment wrapText="1"/>
    </xf>
    <xf numFmtId="0" fontId="33" fillId="0" borderId="0" xfId="1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85" fillId="57" borderId="0" xfId="1745" applyAlignment="1">
      <alignment horizontal="center" vertical="top" wrapText="1"/>
    </xf>
    <xf numFmtId="0" fontId="85" fillId="57" borderId="0" xfId="1745" applyAlignment="1">
      <alignment horizontal="center" vertical="center" wrapText="1"/>
    </xf>
    <xf numFmtId="0" fontId="86" fillId="57" borderId="0" xfId="1746" applyAlignment="1">
      <alignment horizontal="center" vertical="top" wrapText="1"/>
    </xf>
    <xf numFmtId="0" fontId="86" fillId="57" borderId="0" xfId="1746" applyAlignment="1">
      <alignment horizontal="center" vertical="center" wrapText="1"/>
    </xf>
    <xf numFmtId="0" fontId="12" fillId="0" borderId="4" xfId="2" applyFont="1" applyBorder="1" applyAlignment="1">
      <alignment vertical="top" wrapText="1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top" wrapText="1"/>
    </xf>
    <xf numFmtId="167" fontId="0" fillId="0" borderId="0" xfId="0" applyNumberForma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10" fillId="2" borderId="4" xfId="0" applyFont="1" applyFill="1" applyBorder="1" applyAlignment="1">
      <alignment horizontal="center" vertical="top" wrapText="1"/>
    </xf>
    <xf numFmtId="166" fontId="12" fillId="0" borderId="4" xfId="2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12" fillId="0" borderId="4" xfId="2" applyFont="1" applyBorder="1" applyAlignment="1">
      <alignment horizontal="left" vertical="top" wrapText="1"/>
    </xf>
    <xf numFmtId="0" fontId="17" fillId="2" borderId="4" xfId="2" applyFont="1" applyFill="1" applyBorder="1" applyAlignment="1">
      <alignment horizontal="center" vertical="top" wrapText="1"/>
    </xf>
    <xf numFmtId="0" fontId="5" fillId="2" borderId="4" xfId="1" applyFont="1" applyFill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top" wrapText="1"/>
    </xf>
    <xf numFmtId="0" fontId="12" fillId="0" borderId="1" xfId="2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top" wrapText="1"/>
    </xf>
  </cellXfs>
  <cellStyles count="1747">
    <cellStyle name="20% - Акцент1 10" xfId="6"/>
    <cellStyle name="20% - Акцент1 10 2" xfId="7"/>
    <cellStyle name="20% - Акцент1 11" xfId="8"/>
    <cellStyle name="20% - Акцент1 11 2" xfId="9"/>
    <cellStyle name="20% - Акцент1 12" xfId="10"/>
    <cellStyle name="20% - Акцент1 12 2" xfId="11"/>
    <cellStyle name="20% - Акцент1 13" xfId="12"/>
    <cellStyle name="20% - Акцент1 13 2" xfId="13"/>
    <cellStyle name="20% - Акцент1 14" xfId="14"/>
    <cellStyle name="20% - Акцент1 14 2" xfId="15"/>
    <cellStyle name="20% - Акцент1 15" xfId="16"/>
    <cellStyle name="20% - Акцент1 15 2" xfId="17"/>
    <cellStyle name="20% - Акцент1 16" xfId="18"/>
    <cellStyle name="20% - Акцент1 16 2" xfId="19"/>
    <cellStyle name="20% - Акцент1 17 2" xfId="20"/>
    <cellStyle name="20% - Акцент1 18 2" xfId="21"/>
    <cellStyle name="20% - Акцент1 19 2" xfId="22"/>
    <cellStyle name="20% - Акцент1 2" xfId="23"/>
    <cellStyle name="20% - Акцент1 2 2" xfId="24"/>
    <cellStyle name="20% - Акцент1 2 3" xfId="25"/>
    <cellStyle name="20% - Акцент1 2 4" xfId="26"/>
    <cellStyle name="20% - Акцент1 2 5" xfId="27"/>
    <cellStyle name="20% - Акцент1 2 6" xfId="28"/>
    <cellStyle name="20% - Акцент1 2_Общ_свод" xfId="29"/>
    <cellStyle name="20% - Акцент1 20 2" xfId="30"/>
    <cellStyle name="20% - Акцент1 3" xfId="31"/>
    <cellStyle name="20% - Акцент1 3 2" xfId="32"/>
    <cellStyle name="20% - Акцент1 4" xfId="33"/>
    <cellStyle name="20% - Акцент1 4 2" xfId="34"/>
    <cellStyle name="20% - Акцент1 5" xfId="35"/>
    <cellStyle name="20% - Акцент1 5 2" xfId="36"/>
    <cellStyle name="20% - Акцент1 6" xfId="37"/>
    <cellStyle name="20% - Акцент1 6 2" xfId="38"/>
    <cellStyle name="20% - Акцент1 7" xfId="39"/>
    <cellStyle name="20% - Акцент1 7 2" xfId="40"/>
    <cellStyle name="20% - Акцент1 8" xfId="41"/>
    <cellStyle name="20% - Акцент1 8 2" xfId="42"/>
    <cellStyle name="20% - Акцент1 9" xfId="43"/>
    <cellStyle name="20% - Акцент1 9 2" xfId="44"/>
    <cellStyle name="20% - Акцент2 10" xfId="45"/>
    <cellStyle name="20% - Акцент2 10 2" xfId="46"/>
    <cellStyle name="20% - Акцент2 11" xfId="47"/>
    <cellStyle name="20% - Акцент2 11 2" xfId="48"/>
    <cellStyle name="20% - Акцент2 12" xfId="49"/>
    <cellStyle name="20% - Акцент2 12 2" xfId="50"/>
    <cellStyle name="20% - Акцент2 13" xfId="51"/>
    <cellStyle name="20% - Акцент2 13 2" xfId="52"/>
    <cellStyle name="20% - Акцент2 14" xfId="53"/>
    <cellStyle name="20% - Акцент2 14 2" xfId="54"/>
    <cellStyle name="20% - Акцент2 15" xfId="55"/>
    <cellStyle name="20% - Акцент2 15 2" xfId="56"/>
    <cellStyle name="20% - Акцент2 16" xfId="57"/>
    <cellStyle name="20% - Акцент2 16 2" xfId="58"/>
    <cellStyle name="20% - Акцент2 17 2" xfId="59"/>
    <cellStyle name="20% - Акцент2 18 2" xfId="60"/>
    <cellStyle name="20% - Акцент2 19 2" xfId="61"/>
    <cellStyle name="20% - Акцент2 2" xfId="62"/>
    <cellStyle name="20% - Акцент2 2 2" xfId="63"/>
    <cellStyle name="20% - Акцент2 2 3" xfId="64"/>
    <cellStyle name="20% - Акцент2 2 4" xfId="65"/>
    <cellStyle name="20% - Акцент2 2 5" xfId="66"/>
    <cellStyle name="20% - Акцент2 2 6" xfId="67"/>
    <cellStyle name="20% - Акцент2 2_Общ_свод" xfId="68"/>
    <cellStyle name="20% - Акцент2 20 2" xfId="69"/>
    <cellStyle name="20% - Акцент2 3" xfId="70"/>
    <cellStyle name="20% - Акцент2 3 2" xfId="71"/>
    <cellStyle name="20% - Акцент2 4" xfId="72"/>
    <cellStyle name="20% - Акцент2 4 2" xfId="73"/>
    <cellStyle name="20% - Акцент2 5" xfId="74"/>
    <cellStyle name="20% - Акцент2 5 2" xfId="75"/>
    <cellStyle name="20% - Акцент2 6" xfId="76"/>
    <cellStyle name="20% - Акцент2 6 2" xfId="77"/>
    <cellStyle name="20% - Акцент2 7" xfId="78"/>
    <cellStyle name="20% - Акцент2 7 2" xfId="79"/>
    <cellStyle name="20% - Акцент2 8" xfId="80"/>
    <cellStyle name="20% - Акцент2 8 2" xfId="81"/>
    <cellStyle name="20% - Акцент2 9" xfId="82"/>
    <cellStyle name="20% - Акцент2 9 2" xfId="83"/>
    <cellStyle name="20% - Акцент3 10" xfId="84"/>
    <cellStyle name="20% - Акцент3 10 2" xfId="85"/>
    <cellStyle name="20% - Акцент3 11" xfId="86"/>
    <cellStyle name="20% - Акцент3 11 2" xfId="87"/>
    <cellStyle name="20% - Акцент3 12" xfId="88"/>
    <cellStyle name="20% - Акцент3 12 2" xfId="89"/>
    <cellStyle name="20% - Акцент3 13" xfId="90"/>
    <cellStyle name="20% - Акцент3 13 2" xfId="91"/>
    <cellStyle name="20% - Акцент3 14" xfId="92"/>
    <cellStyle name="20% - Акцент3 14 2" xfId="93"/>
    <cellStyle name="20% - Акцент3 15" xfId="94"/>
    <cellStyle name="20% - Акцент3 15 2" xfId="95"/>
    <cellStyle name="20% - Акцент3 16" xfId="96"/>
    <cellStyle name="20% - Акцент3 16 2" xfId="97"/>
    <cellStyle name="20% - Акцент3 17 2" xfId="98"/>
    <cellStyle name="20% - Акцент3 18 2" xfId="99"/>
    <cellStyle name="20% - Акцент3 19 2" xfId="100"/>
    <cellStyle name="20% - Акцент3 2" xfId="101"/>
    <cellStyle name="20% - Акцент3 2 2" xfId="102"/>
    <cellStyle name="20% - Акцент3 2 3" xfId="103"/>
    <cellStyle name="20% - Акцент3 2 4" xfId="104"/>
    <cellStyle name="20% - Акцент3 2 5" xfId="105"/>
    <cellStyle name="20% - Акцент3 2 6" xfId="106"/>
    <cellStyle name="20% - Акцент3 2_Общ_свод" xfId="107"/>
    <cellStyle name="20% - Акцент3 20 2" xfId="108"/>
    <cellStyle name="20% - Акцент3 3" xfId="109"/>
    <cellStyle name="20% - Акцент3 3 2" xfId="110"/>
    <cellStyle name="20% - Акцент3 4" xfId="111"/>
    <cellStyle name="20% - Акцент3 4 2" xfId="112"/>
    <cellStyle name="20% - Акцент3 5" xfId="113"/>
    <cellStyle name="20% - Акцент3 5 2" xfId="114"/>
    <cellStyle name="20% - Акцент3 6" xfId="115"/>
    <cellStyle name="20% - Акцент3 6 2" xfId="116"/>
    <cellStyle name="20% - Акцент3 7" xfId="117"/>
    <cellStyle name="20% - Акцент3 7 2" xfId="118"/>
    <cellStyle name="20% - Акцент3 8" xfId="119"/>
    <cellStyle name="20% - Акцент3 8 2" xfId="120"/>
    <cellStyle name="20% - Акцент3 9" xfId="121"/>
    <cellStyle name="20% - Акцент3 9 2" xfId="122"/>
    <cellStyle name="20% - Акцент4 10" xfId="123"/>
    <cellStyle name="20% - Акцент4 10 2" xfId="124"/>
    <cellStyle name="20% - Акцент4 11" xfId="125"/>
    <cellStyle name="20% - Акцент4 11 2" xfId="126"/>
    <cellStyle name="20% - Акцент4 12" xfId="127"/>
    <cellStyle name="20% - Акцент4 12 2" xfId="128"/>
    <cellStyle name="20% - Акцент4 13" xfId="129"/>
    <cellStyle name="20% - Акцент4 13 2" xfId="130"/>
    <cellStyle name="20% - Акцент4 14" xfId="131"/>
    <cellStyle name="20% - Акцент4 14 2" xfId="132"/>
    <cellStyle name="20% - Акцент4 15" xfId="133"/>
    <cellStyle name="20% - Акцент4 15 2" xfId="134"/>
    <cellStyle name="20% - Акцент4 16" xfId="135"/>
    <cellStyle name="20% - Акцент4 16 2" xfId="136"/>
    <cellStyle name="20% - Акцент4 17 2" xfId="137"/>
    <cellStyle name="20% - Акцент4 18 2" xfId="138"/>
    <cellStyle name="20% - Акцент4 19 2" xfId="139"/>
    <cellStyle name="20% - Акцент4 2" xfId="140"/>
    <cellStyle name="20% - Акцент4 2 2" xfId="141"/>
    <cellStyle name="20% - Акцент4 2 3" xfId="142"/>
    <cellStyle name="20% - Акцент4 2 4" xfId="143"/>
    <cellStyle name="20% - Акцент4 2 5" xfId="144"/>
    <cellStyle name="20% - Акцент4 2 6" xfId="145"/>
    <cellStyle name="20% - Акцент4 2_Общ_свод" xfId="146"/>
    <cellStyle name="20% - Акцент4 20 2" xfId="147"/>
    <cellStyle name="20% - Акцент4 3" xfId="148"/>
    <cellStyle name="20% - Акцент4 3 2" xfId="149"/>
    <cellStyle name="20% - Акцент4 4" xfId="150"/>
    <cellStyle name="20% - Акцент4 4 2" xfId="151"/>
    <cellStyle name="20% - Акцент4 5" xfId="152"/>
    <cellStyle name="20% - Акцент4 5 2" xfId="153"/>
    <cellStyle name="20% - Акцент4 6" xfId="154"/>
    <cellStyle name="20% - Акцент4 6 2" xfId="155"/>
    <cellStyle name="20% - Акцент4 7" xfId="156"/>
    <cellStyle name="20% - Акцент4 7 2" xfId="157"/>
    <cellStyle name="20% - Акцент4 8" xfId="158"/>
    <cellStyle name="20% - Акцент4 8 2" xfId="159"/>
    <cellStyle name="20% - Акцент4 9" xfId="160"/>
    <cellStyle name="20% - Акцент4 9 2" xfId="161"/>
    <cellStyle name="20% - Акцент5 10" xfId="162"/>
    <cellStyle name="20% - Акцент5 10 2" xfId="163"/>
    <cellStyle name="20% - Акцент5 11" xfId="164"/>
    <cellStyle name="20% - Акцент5 11 2" xfId="165"/>
    <cellStyle name="20% - Акцент5 12" xfId="166"/>
    <cellStyle name="20% - Акцент5 12 2" xfId="167"/>
    <cellStyle name="20% - Акцент5 13" xfId="168"/>
    <cellStyle name="20% - Акцент5 13 2" xfId="169"/>
    <cellStyle name="20% - Акцент5 14" xfId="170"/>
    <cellStyle name="20% - Акцент5 14 2" xfId="171"/>
    <cellStyle name="20% - Акцент5 15" xfId="172"/>
    <cellStyle name="20% - Акцент5 15 2" xfId="173"/>
    <cellStyle name="20% - Акцент5 16" xfId="174"/>
    <cellStyle name="20% - Акцент5 16 2" xfId="175"/>
    <cellStyle name="20% - Акцент5 17 2" xfId="176"/>
    <cellStyle name="20% - Акцент5 18 2" xfId="177"/>
    <cellStyle name="20% - Акцент5 19 2" xfId="178"/>
    <cellStyle name="20% - Акцент5 2" xfId="179"/>
    <cellStyle name="20% - Акцент5 2 2" xfId="180"/>
    <cellStyle name="20% - Акцент5 2 3" xfId="181"/>
    <cellStyle name="20% - Акцент5 2 4" xfId="182"/>
    <cellStyle name="20% - Акцент5 2 5" xfId="183"/>
    <cellStyle name="20% - Акцент5 2 6" xfId="184"/>
    <cellStyle name="20% - Акцент5 2_Общ_свод" xfId="185"/>
    <cellStyle name="20% - Акцент5 20 2" xfId="186"/>
    <cellStyle name="20% - Акцент5 3" xfId="187"/>
    <cellStyle name="20% - Акцент5 3 2" xfId="188"/>
    <cellStyle name="20% - Акцент5 4" xfId="189"/>
    <cellStyle name="20% - Акцент5 4 2" xfId="190"/>
    <cellStyle name="20% - Акцент5 5" xfId="191"/>
    <cellStyle name="20% - Акцент5 5 2" xfId="192"/>
    <cellStyle name="20% - Акцент5 6" xfId="193"/>
    <cellStyle name="20% - Акцент5 6 2" xfId="194"/>
    <cellStyle name="20% - Акцент5 7" xfId="195"/>
    <cellStyle name="20% - Акцент5 7 2" xfId="196"/>
    <cellStyle name="20% - Акцент5 8" xfId="197"/>
    <cellStyle name="20% - Акцент5 8 2" xfId="198"/>
    <cellStyle name="20% - Акцент5 9" xfId="199"/>
    <cellStyle name="20% - Акцент5 9 2" xfId="200"/>
    <cellStyle name="20% - Акцент6 10" xfId="201"/>
    <cellStyle name="20% - Акцент6 10 2" xfId="202"/>
    <cellStyle name="20% - Акцент6 11" xfId="203"/>
    <cellStyle name="20% - Акцент6 11 2" xfId="204"/>
    <cellStyle name="20% - Акцент6 12" xfId="205"/>
    <cellStyle name="20% - Акцент6 12 2" xfId="206"/>
    <cellStyle name="20% - Акцент6 13" xfId="207"/>
    <cellStyle name="20% - Акцент6 13 2" xfId="208"/>
    <cellStyle name="20% - Акцент6 14" xfId="209"/>
    <cellStyle name="20% - Акцент6 14 2" xfId="210"/>
    <cellStyle name="20% - Акцент6 15" xfId="211"/>
    <cellStyle name="20% - Акцент6 15 2" xfId="212"/>
    <cellStyle name="20% - Акцент6 16" xfId="213"/>
    <cellStyle name="20% - Акцент6 16 2" xfId="214"/>
    <cellStyle name="20% - Акцент6 17 2" xfId="215"/>
    <cellStyle name="20% - Акцент6 18 2" xfId="216"/>
    <cellStyle name="20% - Акцент6 19 2" xfId="217"/>
    <cellStyle name="20% - Акцент6 2" xfId="218"/>
    <cellStyle name="20% - Акцент6 2 2" xfId="219"/>
    <cellStyle name="20% - Акцент6 2 3" xfId="220"/>
    <cellStyle name="20% - Акцент6 2 4" xfId="221"/>
    <cellStyle name="20% - Акцент6 2 5" xfId="222"/>
    <cellStyle name="20% - Акцент6 2 6" xfId="223"/>
    <cellStyle name="20% - Акцент6 2_Общ_свод" xfId="224"/>
    <cellStyle name="20% - Акцент6 20 2" xfId="225"/>
    <cellStyle name="20% - Акцент6 3" xfId="226"/>
    <cellStyle name="20% - Акцент6 3 2" xfId="227"/>
    <cellStyle name="20% - Акцент6 4" xfId="228"/>
    <cellStyle name="20% - Акцент6 4 2" xfId="229"/>
    <cellStyle name="20% - Акцент6 5" xfId="230"/>
    <cellStyle name="20% - Акцент6 5 2" xfId="231"/>
    <cellStyle name="20% - Акцент6 6" xfId="232"/>
    <cellStyle name="20% - Акцент6 6 2" xfId="233"/>
    <cellStyle name="20% - Акцент6 7" xfId="234"/>
    <cellStyle name="20% - Акцент6 7 2" xfId="235"/>
    <cellStyle name="20% - Акцент6 8" xfId="236"/>
    <cellStyle name="20% - Акцент6 8 2" xfId="237"/>
    <cellStyle name="20% - Акцент6 9" xfId="238"/>
    <cellStyle name="20% - Акцент6 9 2" xfId="239"/>
    <cellStyle name="40% - Акцент1 10" xfId="240"/>
    <cellStyle name="40% - Акцент1 10 2" xfId="241"/>
    <cellStyle name="40% - Акцент1 11" xfId="242"/>
    <cellStyle name="40% - Акцент1 11 2" xfId="243"/>
    <cellStyle name="40% - Акцент1 12" xfId="244"/>
    <cellStyle name="40% - Акцент1 12 2" xfId="245"/>
    <cellStyle name="40% - Акцент1 13" xfId="246"/>
    <cellStyle name="40% - Акцент1 13 2" xfId="247"/>
    <cellStyle name="40% - Акцент1 14" xfId="248"/>
    <cellStyle name="40% - Акцент1 14 2" xfId="249"/>
    <cellStyle name="40% - Акцент1 15" xfId="250"/>
    <cellStyle name="40% - Акцент1 15 2" xfId="251"/>
    <cellStyle name="40% - Акцент1 16" xfId="252"/>
    <cellStyle name="40% - Акцент1 16 2" xfId="253"/>
    <cellStyle name="40% - Акцент1 17 2" xfId="254"/>
    <cellStyle name="40% - Акцент1 18 2" xfId="255"/>
    <cellStyle name="40% - Акцент1 19 2" xfId="256"/>
    <cellStyle name="40% - Акцент1 2" xfId="257"/>
    <cellStyle name="40% - Акцент1 2 2" xfId="258"/>
    <cellStyle name="40% - Акцент1 2 3" xfId="259"/>
    <cellStyle name="40% - Акцент1 2 4" xfId="260"/>
    <cellStyle name="40% - Акцент1 2 5" xfId="261"/>
    <cellStyle name="40% - Акцент1 2 6" xfId="262"/>
    <cellStyle name="40% - Акцент1 2_Общ_свод" xfId="263"/>
    <cellStyle name="40% - Акцент1 20 2" xfId="264"/>
    <cellStyle name="40% - Акцент1 3" xfId="265"/>
    <cellStyle name="40% - Акцент1 3 2" xfId="266"/>
    <cellStyle name="40% - Акцент1 4" xfId="267"/>
    <cellStyle name="40% - Акцент1 4 2" xfId="268"/>
    <cellStyle name="40% - Акцент1 5" xfId="269"/>
    <cellStyle name="40% - Акцент1 5 2" xfId="270"/>
    <cellStyle name="40% - Акцент1 6" xfId="271"/>
    <cellStyle name="40% - Акцент1 6 2" xfId="272"/>
    <cellStyle name="40% - Акцент1 7" xfId="273"/>
    <cellStyle name="40% - Акцент1 7 2" xfId="274"/>
    <cellStyle name="40% - Акцент1 8" xfId="275"/>
    <cellStyle name="40% - Акцент1 8 2" xfId="276"/>
    <cellStyle name="40% - Акцент1 9" xfId="277"/>
    <cellStyle name="40% - Акцент1 9 2" xfId="278"/>
    <cellStyle name="40% - Акцент2 10" xfId="279"/>
    <cellStyle name="40% - Акцент2 10 2" xfId="280"/>
    <cellStyle name="40% - Акцент2 11" xfId="281"/>
    <cellStyle name="40% - Акцент2 11 2" xfId="282"/>
    <cellStyle name="40% - Акцент2 12" xfId="283"/>
    <cellStyle name="40% - Акцент2 12 2" xfId="284"/>
    <cellStyle name="40% - Акцент2 13" xfId="285"/>
    <cellStyle name="40% - Акцент2 13 2" xfId="286"/>
    <cellStyle name="40% - Акцент2 14" xfId="287"/>
    <cellStyle name="40% - Акцент2 14 2" xfId="288"/>
    <cellStyle name="40% - Акцент2 15" xfId="289"/>
    <cellStyle name="40% - Акцент2 15 2" xfId="290"/>
    <cellStyle name="40% - Акцент2 16" xfId="291"/>
    <cellStyle name="40% - Акцент2 16 2" xfId="292"/>
    <cellStyle name="40% - Акцент2 17 2" xfId="293"/>
    <cellStyle name="40% - Акцент2 18 2" xfId="294"/>
    <cellStyle name="40% - Акцент2 19 2" xfId="295"/>
    <cellStyle name="40% - Акцент2 2" xfId="296"/>
    <cellStyle name="40% - Акцент2 2 2" xfId="297"/>
    <cellStyle name="40% - Акцент2 2 3" xfId="298"/>
    <cellStyle name="40% - Акцент2 2 4" xfId="299"/>
    <cellStyle name="40% - Акцент2 2 5" xfId="300"/>
    <cellStyle name="40% - Акцент2 2 6" xfId="301"/>
    <cellStyle name="40% - Акцент2 2_Общ_свод" xfId="302"/>
    <cellStyle name="40% - Акцент2 20 2" xfId="303"/>
    <cellStyle name="40% - Акцент2 3" xfId="304"/>
    <cellStyle name="40% - Акцент2 3 2" xfId="305"/>
    <cellStyle name="40% - Акцент2 4" xfId="306"/>
    <cellStyle name="40% - Акцент2 4 2" xfId="307"/>
    <cellStyle name="40% - Акцент2 5" xfId="308"/>
    <cellStyle name="40% - Акцент2 5 2" xfId="309"/>
    <cellStyle name="40% - Акцент2 6" xfId="310"/>
    <cellStyle name="40% - Акцент2 6 2" xfId="311"/>
    <cellStyle name="40% - Акцент2 7" xfId="312"/>
    <cellStyle name="40% - Акцент2 7 2" xfId="313"/>
    <cellStyle name="40% - Акцент2 8" xfId="314"/>
    <cellStyle name="40% - Акцент2 8 2" xfId="315"/>
    <cellStyle name="40% - Акцент2 9" xfId="316"/>
    <cellStyle name="40% - Акцент2 9 2" xfId="317"/>
    <cellStyle name="40% - Акцент3 10" xfId="318"/>
    <cellStyle name="40% - Акцент3 10 2" xfId="319"/>
    <cellStyle name="40% - Акцент3 11" xfId="320"/>
    <cellStyle name="40% - Акцент3 11 2" xfId="321"/>
    <cellStyle name="40% - Акцент3 12" xfId="322"/>
    <cellStyle name="40% - Акцент3 12 2" xfId="323"/>
    <cellStyle name="40% - Акцент3 13" xfId="324"/>
    <cellStyle name="40% - Акцент3 13 2" xfId="325"/>
    <cellStyle name="40% - Акцент3 14" xfId="326"/>
    <cellStyle name="40% - Акцент3 14 2" xfId="327"/>
    <cellStyle name="40% - Акцент3 15" xfId="328"/>
    <cellStyle name="40% - Акцент3 15 2" xfId="329"/>
    <cellStyle name="40% - Акцент3 16" xfId="330"/>
    <cellStyle name="40% - Акцент3 16 2" xfId="331"/>
    <cellStyle name="40% - Акцент3 17 2" xfId="332"/>
    <cellStyle name="40% - Акцент3 18 2" xfId="333"/>
    <cellStyle name="40% - Акцент3 19 2" xfId="334"/>
    <cellStyle name="40% - Акцент3 2" xfId="335"/>
    <cellStyle name="40% - Акцент3 2 2" xfId="336"/>
    <cellStyle name="40% - Акцент3 2 3" xfId="337"/>
    <cellStyle name="40% - Акцент3 2 4" xfId="338"/>
    <cellStyle name="40% - Акцент3 2 5" xfId="339"/>
    <cellStyle name="40% - Акцент3 2 6" xfId="340"/>
    <cellStyle name="40% - Акцент3 2_Общ_свод" xfId="341"/>
    <cellStyle name="40% - Акцент3 20 2" xfId="342"/>
    <cellStyle name="40% - Акцент3 3" xfId="343"/>
    <cellStyle name="40% - Акцент3 3 2" xfId="344"/>
    <cellStyle name="40% - Акцент3 4" xfId="345"/>
    <cellStyle name="40% - Акцент3 4 2" xfId="346"/>
    <cellStyle name="40% - Акцент3 5" xfId="347"/>
    <cellStyle name="40% - Акцент3 5 2" xfId="348"/>
    <cellStyle name="40% - Акцент3 6" xfId="349"/>
    <cellStyle name="40% - Акцент3 6 2" xfId="350"/>
    <cellStyle name="40% - Акцент3 7" xfId="351"/>
    <cellStyle name="40% - Акцент3 7 2" xfId="352"/>
    <cellStyle name="40% - Акцент3 8" xfId="353"/>
    <cellStyle name="40% - Акцент3 8 2" xfId="354"/>
    <cellStyle name="40% - Акцент3 9" xfId="355"/>
    <cellStyle name="40% - Акцент3 9 2" xfId="356"/>
    <cellStyle name="40% - Акцент4 10" xfId="357"/>
    <cellStyle name="40% - Акцент4 10 2" xfId="358"/>
    <cellStyle name="40% - Акцент4 11" xfId="359"/>
    <cellStyle name="40% - Акцент4 11 2" xfId="360"/>
    <cellStyle name="40% - Акцент4 12" xfId="361"/>
    <cellStyle name="40% - Акцент4 12 2" xfId="362"/>
    <cellStyle name="40% - Акцент4 13" xfId="363"/>
    <cellStyle name="40% - Акцент4 13 2" xfId="364"/>
    <cellStyle name="40% - Акцент4 14" xfId="365"/>
    <cellStyle name="40% - Акцент4 14 2" xfId="366"/>
    <cellStyle name="40% - Акцент4 15" xfId="367"/>
    <cellStyle name="40% - Акцент4 15 2" xfId="368"/>
    <cellStyle name="40% - Акцент4 16" xfId="369"/>
    <cellStyle name="40% - Акцент4 16 2" xfId="370"/>
    <cellStyle name="40% - Акцент4 17 2" xfId="371"/>
    <cellStyle name="40% - Акцент4 18 2" xfId="372"/>
    <cellStyle name="40% - Акцент4 19 2" xfId="373"/>
    <cellStyle name="40% - Акцент4 2" xfId="374"/>
    <cellStyle name="40% - Акцент4 2 2" xfId="375"/>
    <cellStyle name="40% - Акцент4 2 3" xfId="376"/>
    <cellStyle name="40% - Акцент4 2 4" xfId="377"/>
    <cellStyle name="40% - Акцент4 2 5" xfId="378"/>
    <cellStyle name="40% - Акцент4 2 6" xfId="379"/>
    <cellStyle name="40% - Акцент4 2_Общ_свод" xfId="380"/>
    <cellStyle name="40% - Акцент4 20 2" xfId="381"/>
    <cellStyle name="40% - Акцент4 3" xfId="382"/>
    <cellStyle name="40% - Акцент4 3 2" xfId="383"/>
    <cellStyle name="40% - Акцент4 4" xfId="384"/>
    <cellStyle name="40% - Акцент4 4 2" xfId="385"/>
    <cellStyle name="40% - Акцент4 5" xfId="386"/>
    <cellStyle name="40% - Акцент4 5 2" xfId="387"/>
    <cellStyle name="40% - Акцент4 6" xfId="388"/>
    <cellStyle name="40% - Акцент4 6 2" xfId="389"/>
    <cellStyle name="40% - Акцент4 7" xfId="390"/>
    <cellStyle name="40% - Акцент4 7 2" xfId="391"/>
    <cellStyle name="40% - Акцент4 8" xfId="392"/>
    <cellStyle name="40% - Акцент4 8 2" xfId="393"/>
    <cellStyle name="40% - Акцент4 9" xfId="394"/>
    <cellStyle name="40% - Акцент4 9 2" xfId="395"/>
    <cellStyle name="40% - Акцент5 10" xfId="396"/>
    <cellStyle name="40% - Акцент5 10 2" xfId="397"/>
    <cellStyle name="40% - Акцент5 11" xfId="398"/>
    <cellStyle name="40% - Акцент5 11 2" xfId="399"/>
    <cellStyle name="40% - Акцент5 12" xfId="400"/>
    <cellStyle name="40% - Акцент5 12 2" xfId="401"/>
    <cellStyle name="40% - Акцент5 13" xfId="402"/>
    <cellStyle name="40% - Акцент5 13 2" xfId="403"/>
    <cellStyle name="40% - Акцент5 14" xfId="404"/>
    <cellStyle name="40% - Акцент5 14 2" xfId="405"/>
    <cellStyle name="40% - Акцент5 15" xfId="406"/>
    <cellStyle name="40% - Акцент5 15 2" xfId="407"/>
    <cellStyle name="40% - Акцент5 16" xfId="408"/>
    <cellStyle name="40% - Акцент5 16 2" xfId="409"/>
    <cellStyle name="40% - Акцент5 17 2" xfId="410"/>
    <cellStyle name="40% - Акцент5 18 2" xfId="411"/>
    <cellStyle name="40% - Акцент5 19 2" xfId="412"/>
    <cellStyle name="40% - Акцент5 2" xfId="413"/>
    <cellStyle name="40% - Акцент5 2 2" xfId="414"/>
    <cellStyle name="40% - Акцент5 2 3" xfId="415"/>
    <cellStyle name="40% - Акцент5 2 4" xfId="416"/>
    <cellStyle name="40% - Акцент5 2 5" xfId="417"/>
    <cellStyle name="40% - Акцент5 2 6" xfId="418"/>
    <cellStyle name="40% - Акцент5 2_Общ_свод" xfId="419"/>
    <cellStyle name="40% - Акцент5 20 2" xfId="420"/>
    <cellStyle name="40% - Акцент5 3" xfId="421"/>
    <cellStyle name="40% - Акцент5 3 2" xfId="422"/>
    <cellStyle name="40% - Акцент5 4" xfId="423"/>
    <cellStyle name="40% - Акцент5 4 2" xfId="424"/>
    <cellStyle name="40% - Акцент5 5" xfId="425"/>
    <cellStyle name="40% - Акцент5 5 2" xfId="426"/>
    <cellStyle name="40% - Акцент5 6" xfId="427"/>
    <cellStyle name="40% - Акцент5 6 2" xfId="428"/>
    <cellStyle name="40% - Акцент5 7" xfId="429"/>
    <cellStyle name="40% - Акцент5 7 2" xfId="430"/>
    <cellStyle name="40% - Акцент5 8" xfId="431"/>
    <cellStyle name="40% - Акцент5 8 2" xfId="432"/>
    <cellStyle name="40% - Акцент5 9" xfId="433"/>
    <cellStyle name="40% - Акцент5 9 2" xfId="434"/>
    <cellStyle name="40% - Акцент6 10" xfId="435"/>
    <cellStyle name="40% - Акцент6 10 2" xfId="436"/>
    <cellStyle name="40% - Акцент6 11" xfId="437"/>
    <cellStyle name="40% - Акцент6 11 2" xfId="438"/>
    <cellStyle name="40% - Акцент6 12" xfId="439"/>
    <cellStyle name="40% - Акцент6 12 2" xfId="440"/>
    <cellStyle name="40% - Акцент6 13" xfId="441"/>
    <cellStyle name="40% - Акцент6 13 2" xfId="442"/>
    <cellStyle name="40% - Акцент6 14" xfId="443"/>
    <cellStyle name="40% - Акцент6 14 2" xfId="444"/>
    <cellStyle name="40% - Акцент6 15" xfId="445"/>
    <cellStyle name="40% - Акцент6 15 2" xfId="446"/>
    <cellStyle name="40% - Акцент6 16" xfId="447"/>
    <cellStyle name="40% - Акцент6 16 2" xfId="448"/>
    <cellStyle name="40% - Акцент6 17 2" xfId="449"/>
    <cellStyle name="40% - Акцент6 18 2" xfId="450"/>
    <cellStyle name="40% - Акцент6 19 2" xfId="451"/>
    <cellStyle name="40% - Акцент6 2" xfId="452"/>
    <cellStyle name="40% - Акцент6 2 2" xfId="453"/>
    <cellStyle name="40% - Акцент6 2 3" xfId="454"/>
    <cellStyle name="40% - Акцент6 2 4" xfId="455"/>
    <cellStyle name="40% - Акцент6 2 5" xfId="456"/>
    <cellStyle name="40% - Акцент6 2 6" xfId="457"/>
    <cellStyle name="40% - Акцент6 2_Общ_свод" xfId="458"/>
    <cellStyle name="40% - Акцент6 20 2" xfId="459"/>
    <cellStyle name="40% - Акцент6 3" xfId="460"/>
    <cellStyle name="40% - Акцент6 3 2" xfId="461"/>
    <cellStyle name="40% - Акцент6 4" xfId="462"/>
    <cellStyle name="40% - Акцент6 4 2" xfId="463"/>
    <cellStyle name="40% - Акцент6 5" xfId="464"/>
    <cellStyle name="40% - Акцент6 5 2" xfId="465"/>
    <cellStyle name="40% - Акцент6 6" xfId="466"/>
    <cellStyle name="40% - Акцент6 6 2" xfId="467"/>
    <cellStyle name="40% - Акцент6 7" xfId="468"/>
    <cellStyle name="40% - Акцент6 7 2" xfId="469"/>
    <cellStyle name="40% - Акцент6 8" xfId="470"/>
    <cellStyle name="40% - Акцент6 8 2" xfId="471"/>
    <cellStyle name="40% - Акцент6 9" xfId="472"/>
    <cellStyle name="40% - Акцент6 9 2" xfId="473"/>
    <cellStyle name="60% - Акцент1 10" xfId="474"/>
    <cellStyle name="60% - Акцент1 10 2" xfId="475"/>
    <cellStyle name="60% - Акцент1 11" xfId="476"/>
    <cellStyle name="60% - Акцент1 11 2" xfId="477"/>
    <cellStyle name="60% - Акцент1 12" xfId="478"/>
    <cellStyle name="60% - Акцент1 12 2" xfId="479"/>
    <cellStyle name="60% - Акцент1 13" xfId="480"/>
    <cellStyle name="60% - Акцент1 13 2" xfId="481"/>
    <cellStyle name="60% - Акцент1 14" xfId="482"/>
    <cellStyle name="60% - Акцент1 14 2" xfId="483"/>
    <cellStyle name="60% - Акцент1 15" xfId="484"/>
    <cellStyle name="60% - Акцент1 15 2" xfId="485"/>
    <cellStyle name="60% - Акцент1 16 2" xfId="486"/>
    <cellStyle name="60% - Акцент1 17 2" xfId="487"/>
    <cellStyle name="60% - Акцент1 18 2" xfId="488"/>
    <cellStyle name="60% - Акцент1 19 2" xfId="489"/>
    <cellStyle name="60% - Акцент1 2" xfId="490"/>
    <cellStyle name="60% - Акцент1 2 2" xfId="491"/>
    <cellStyle name="60% - Акцент1 2 2 2" xfId="492"/>
    <cellStyle name="60% - Акцент1 2 2_Свод_Гумбулак" xfId="493"/>
    <cellStyle name="60% - Акцент1 3" xfId="494"/>
    <cellStyle name="60% - Акцент1 3 2" xfId="495"/>
    <cellStyle name="60% - Акцент1 4" xfId="496"/>
    <cellStyle name="60% - Акцент1 4 2" xfId="497"/>
    <cellStyle name="60% - Акцент1 5" xfId="498"/>
    <cellStyle name="60% - Акцент1 5 2" xfId="499"/>
    <cellStyle name="60% - Акцент1 6" xfId="500"/>
    <cellStyle name="60% - Акцент1 6 2" xfId="501"/>
    <cellStyle name="60% - Акцент1 7" xfId="502"/>
    <cellStyle name="60% - Акцент1 7 2" xfId="503"/>
    <cellStyle name="60% - Акцент1 8" xfId="504"/>
    <cellStyle name="60% - Акцент1 8 2" xfId="505"/>
    <cellStyle name="60% - Акцент1 9" xfId="506"/>
    <cellStyle name="60% - Акцент1 9 2" xfId="507"/>
    <cellStyle name="60% - Акцент2 10" xfId="508"/>
    <cellStyle name="60% - Акцент2 10 2" xfId="509"/>
    <cellStyle name="60% - Акцент2 11" xfId="510"/>
    <cellStyle name="60% - Акцент2 11 2" xfId="511"/>
    <cellStyle name="60% - Акцент2 12" xfId="512"/>
    <cellStyle name="60% - Акцент2 12 2" xfId="513"/>
    <cellStyle name="60% - Акцент2 13" xfId="514"/>
    <cellStyle name="60% - Акцент2 13 2" xfId="515"/>
    <cellStyle name="60% - Акцент2 14" xfId="516"/>
    <cellStyle name="60% - Акцент2 14 2" xfId="517"/>
    <cellStyle name="60% - Акцент2 15" xfId="518"/>
    <cellStyle name="60% - Акцент2 15 2" xfId="519"/>
    <cellStyle name="60% - Акцент2 16 2" xfId="520"/>
    <cellStyle name="60% - Акцент2 17 2" xfId="521"/>
    <cellStyle name="60% - Акцент2 18 2" xfId="522"/>
    <cellStyle name="60% - Акцент2 19 2" xfId="523"/>
    <cellStyle name="60% - Акцент2 2" xfId="524"/>
    <cellStyle name="60% - Акцент2 2 2" xfId="525"/>
    <cellStyle name="60% - Акцент2 2 2 2" xfId="526"/>
    <cellStyle name="60% - Акцент2 3" xfId="527"/>
    <cellStyle name="60% - Акцент2 3 2" xfId="528"/>
    <cellStyle name="60% - Акцент2 4" xfId="529"/>
    <cellStyle name="60% - Акцент2 4 2" xfId="530"/>
    <cellStyle name="60% - Акцент2 5" xfId="531"/>
    <cellStyle name="60% - Акцент2 5 2" xfId="532"/>
    <cellStyle name="60% - Акцент2 6" xfId="533"/>
    <cellStyle name="60% - Акцент2 6 2" xfId="534"/>
    <cellStyle name="60% - Акцент2 7" xfId="535"/>
    <cellStyle name="60% - Акцент2 7 2" xfId="536"/>
    <cellStyle name="60% - Акцент2 8" xfId="537"/>
    <cellStyle name="60% - Акцент2 8 2" xfId="538"/>
    <cellStyle name="60% - Акцент2 9" xfId="539"/>
    <cellStyle name="60% - Акцент2 9 2" xfId="540"/>
    <cellStyle name="60% - Акцент3 10" xfId="541"/>
    <cellStyle name="60% - Акцент3 10 2" xfId="542"/>
    <cellStyle name="60% - Акцент3 11" xfId="543"/>
    <cellStyle name="60% - Акцент3 11 2" xfId="544"/>
    <cellStyle name="60% - Акцент3 12" xfId="545"/>
    <cellStyle name="60% - Акцент3 12 2" xfId="546"/>
    <cellStyle name="60% - Акцент3 13" xfId="547"/>
    <cellStyle name="60% - Акцент3 13 2" xfId="548"/>
    <cellStyle name="60% - Акцент3 14" xfId="549"/>
    <cellStyle name="60% - Акцент3 14 2" xfId="550"/>
    <cellStyle name="60% - Акцент3 15" xfId="551"/>
    <cellStyle name="60% - Акцент3 15 2" xfId="552"/>
    <cellStyle name="60% - Акцент3 16 2" xfId="553"/>
    <cellStyle name="60% - Акцент3 17 2" xfId="554"/>
    <cellStyle name="60% - Акцент3 18 2" xfId="555"/>
    <cellStyle name="60% - Акцент3 19 2" xfId="556"/>
    <cellStyle name="60% - Акцент3 2" xfId="557"/>
    <cellStyle name="60% - Акцент3 2 2" xfId="558"/>
    <cellStyle name="60% - Акцент3 2 2 2" xfId="559"/>
    <cellStyle name="60% - Акцент3 2 2_Свод_Гумбулак" xfId="560"/>
    <cellStyle name="60% - Акцент3 3" xfId="561"/>
    <cellStyle name="60% - Акцент3 3 2" xfId="562"/>
    <cellStyle name="60% - Акцент3 4" xfId="563"/>
    <cellStyle name="60% - Акцент3 4 2" xfId="564"/>
    <cellStyle name="60% - Акцент3 5" xfId="565"/>
    <cellStyle name="60% - Акцент3 5 2" xfId="566"/>
    <cellStyle name="60% - Акцент3 6" xfId="567"/>
    <cellStyle name="60% - Акцент3 6 2" xfId="568"/>
    <cellStyle name="60% - Акцент3 7" xfId="569"/>
    <cellStyle name="60% - Акцент3 7 2" xfId="570"/>
    <cellStyle name="60% - Акцент3 8" xfId="571"/>
    <cellStyle name="60% - Акцент3 8 2" xfId="572"/>
    <cellStyle name="60% - Акцент3 9" xfId="573"/>
    <cellStyle name="60% - Акцент3 9 2" xfId="574"/>
    <cellStyle name="60% - Акцент4 10" xfId="575"/>
    <cellStyle name="60% - Акцент4 10 2" xfId="576"/>
    <cellStyle name="60% - Акцент4 11" xfId="577"/>
    <cellStyle name="60% - Акцент4 11 2" xfId="578"/>
    <cellStyle name="60% - Акцент4 12" xfId="579"/>
    <cellStyle name="60% - Акцент4 12 2" xfId="580"/>
    <cellStyle name="60% - Акцент4 13" xfId="581"/>
    <cellStyle name="60% - Акцент4 13 2" xfId="582"/>
    <cellStyle name="60% - Акцент4 14" xfId="583"/>
    <cellStyle name="60% - Акцент4 14 2" xfId="584"/>
    <cellStyle name="60% - Акцент4 15" xfId="585"/>
    <cellStyle name="60% - Акцент4 15 2" xfId="586"/>
    <cellStyle name="60% - Акцент4 16 2" xfId="587"/>
    <cellStyle name="60% - Акцент4 17 2" xfId="588"/>
    <cellStyle name="60% - Акцент4 18 2" xfId="589"/>
    <cellStyle name="60% - Акцент4 19 2" xfId="590"/>
    <cellStyle name="60% - Акцент4 2" xfId="591"/>
    <cellStyle name="60% - Акцент4 2 2" xfId="592"/>
    <cellStyle name="60% - Акцент4 2 2 2" xfId="593"/>
    <cellStyle name="60% - Акцент4 2 2_Свод_Гумбулак" xfId="594"/>
    <cellStyle name="60% - Акцент4 3" xfId="595"/>
    <cellStyle name="60% - Акцент4 3 2" xfId="596"/>
    <cellStyle name="60% - Акцент4 4" xfId="597"/>
    <cellStyle name="60% - Акцент4 4 2" xfId="598"/>
    <cellStyle name="60% - Акцент4 5" xfId="599"/>
    <cellStyle name="60% - Акцент4 5 2" xfId="600"/>
    <cellStyle name="60% - Акцент4 6" xfId="601"/>
    <cellStyle name="60% - Акцент4 6 2" xfId="602"/>
    <cellStyle name="60% - Акцент4 7" xfId="603"/>
    <cellStyle name="60% - Акцент4 7 2" xfId="604"/>
    <cellStyle name="60% - Акцент4 8" xfId="605"/>
    <cellStyle name="60% - Акцент4 8 2" xfId="606"/>
    <cellStyle name="60% - Акцент4 9" xfId="607"/>
    <cellStyle name="60% - Акцент4 9 2" xfId="608"/>
    <cellStyle name="60% - Акцент5 10" xfId="609"/>
    <cellStyle name="60% - Акцент5 10 2" xfId="610"/>
    <cellStyle name="60% - Акцент5 11" xfId="611"/>
    <cellStyle name="60% - Акцент5 11 2" xfId="612"/>
    <cellStyle name="60% - Акцент5 12" xfId="613"/>
    <cellStyle name="60% - Акцент5 12 2" xfId="614"/>
    <cellStyle name="60% - Акцент5 13" xfId="615"/>
    <cellStyle name="60% - Акцент5 13 2" xfId="616"/>
    <cellStyle name="60% - Акцент5 14" xfId="617"/>
    <cellStyle name="60% - Акцент5 14 2" xfId="618"/>
    <cellStyle name="60% - Акцент5 15" xfId="619"/>
    <cellStyle name="60% - Акцент5 15 2" xfId="620"/>
    <cellStyle name="60% - Акцент5 16 2" xfId="621"/>
    <cellStyle name="60% - Акцент5 17 2" xfId="622"/>
    <cellStyle name="60% - Акцент5 18 2" xfId="623"/>
    <cellStyle name="60% - Акцент5 19 2" xfId="624"/>
    <cellStyle name="60% - Акцент5 2" xfId="625"/>
    <cellStyle name="60% - Акцент5 2 2" xfId="626"/>
    <cellStyle name="60% - Акцент5 2 2 2" xfId="627"/>
    <cellStyle name="60% - Акцент5 3" xfId="628"/>
    <cellStyle name="60% - Акцент5 3 2" xfId="629"/>
    <cellStyle name="60% - Акцент5 4" xfId="630"/>
    <cellStyle name="60% - Акцент5 4 2" xfId="631"/>
    <cellStyle name="60% - Акцент5 5" xfId="632"/>
    <cellStyle name="60% - Акцент5 5 2" xfId="633"/>
    <cellStyle name="60% - Акцент5 6" xfId="634"/>
    <cellStyle name="60% - Акцент5 6 2" xfId="635"/>
    <cellStyle name="60% - Акцент5 7" xfId="636"/>
    <cellStyle name="60% - Акцент5 7 2" xfId="637"/>
    <cellStyle name="60% - Акцент5 8" xfId="638"/>
    <cellStyle name="60% - Акцент5 8 2" xfId="639"/>
    <cellStyle name="60% - Акцент5 9" xfId="640"/>
    <cellStyle name="60% - Акцент5 9 2" xfId="641"/>
    <cellStyle name="60% - Акцент6 10" xfId="642"/>
    <cellStyle name="60% - Акцент6 10 2" xfId="643"/>
    <cellStyle name="60% - Акцент6 11" xfId="644"/>
    <cellStyle name="60% - Акцент6 11 2" xfId="645"/>
    <cellStyle name="60% - Акцент6 12" xfId="646"/>
    <cellStyle name="60% - Акцент6 12 2" xfId="647"/>
    <cellStyle name="60% - Акцент6 13" xfId="648"/>
    <cellStyle name="60% - Акцент6 13 2" xfId="649"/>
    <cellStyle name="60% - Акцент6 14" xfId="650"/>
    <cellStyle name="60% - Акцент6 14 2" xfId="651"/>
    <cellStyle name="60% - Акцент6 15" xfId="652"/>
    <cellStyle name="60% - Акцент6 15 2" xfId="653"/>
    <cellStyle name="60% - Акцент6 16 2" xfId="654"/>
    <cellStyle name="60% - Акцент6 17 2" xfId="655"/>
    <cellStyle name="60% - Акцент6 18 2" xfId="656"/>
    <cellStyle name="60% - Акцент6 19 2" xfId="657"/>
    <cellStyle name="60% - Акцент6 2" xfId="658"/>
    <cellStyle name="60% - Акцент6 2 2" xfId="659"/>
    <cellStyle name="60% - Акцент6 2 2 2" xfId="660"/>
    <cellStyle name="60% - Акцент6 2 2_Свод_Гумбулак" xfId="661"/>
    <cellStyle name="60% - Акцент6 3" xfId="662"/>
    <cellStyle name="60% - Акцент6 3 2" xfId="663"/>
    <cellStyle name="60% - Акцент6 4" xfId="664"/>
    <cellStyle name="60% - Акцент6 4 2" xfId="665"/>
    <cellStyle name="60% - Акцент6 5" xfId="666"/>
    <cellStyle name="60% - Акцент6 5 2" xfId="667"/>
    <cellStyle name="60% - Акцент6 6" xfId="668"/>
    <cellStyle name="60% - Акцент6 6 2" xfId="669"/>
    <cellStyle name="60% - Акцент6 7" xfId="670"/>
    <cellStyle name="60% - Акцент6 7 2" xfId="671"/>
    <cellStyle name="60% - Акцент6 8" xfId="672"/>
    <cellStyle name="60% - Акцент6 8 2" xfId="673"/>
    <cellStyle name="60% - Акцент6 9" xfId="674"/>
    <cellStyle name="60% - Акцент6 9 2" xfId="675"/>
    <cellStyle name="SЛокально-ресурсная ведомости 21" xfId="1746"/>
    <cellStyle name="SЛокально-ресурсная ведомости 24" xfId="1745"/>
    <cellStyle name="Акцент1 10" xfId="676"/>
    <cellStyle name="Акцент1 10 2" xfId="677"/>
    <cellStyle name="Акцент1 11" xfId="678"/>
    <cellStyle name="Акцент1 11 2" xfId="679"/>
    <cellStyle name="Акцент1 12" xfId="680"/>
    <cellStyle name="Акцент1 12 2" xfId="681"/>
    <cellStyle name="Акцент1 13" xfId="682"/>
    <cellStyle name="Акцент1 13 2" xfId="683"/>
    <cellStyle name="Акцент1 14" xfId="684"/>
    <cellStyle name="Акцент1 14 2" xfId="685"/>
    <cellStyle name="Акцент1 15" xfId="686"/>
    <cellStyle name="Акцент1 15 2" xfId="687"/>
    <cellStyle name="Акцент1 16 2" xfId="688"/>
    <cellStyle name="Акцент1 17 2" xfId="689"/>
    <cellStyle name="Акцент1 18 2" xfId="690"/>
    <cellStyle name="Акцент1 19 2" xfId="691"/>
    <cellStyle name="Акцент1 2" xfId="692"/>
    <cellStyle name="Акцент1 2 2" xfId="693"/>
    <cellStyle name="Акцент1 2 2 2" xfId="694"/>
    <cellStyle name="Акцент1 2 2_Свод_Гумбулак" xfId="695"/>
    <cellStyle name="Акцент1 3" xfId="696"/>
    <cellStyle name="Акцент1 3 2" xfId="697"/>
    <cellStyle name="Акцент1 4" xfId="698"/>
    <cellStyle name="Акцент1 4 2" xfId="699"/>
    <cellStyle name="Акцент1 5" xfId="700"/>
    <cellStyle name="Акцент1 5 2" xfId="701"/>
    <cellStyle name="Акцент1 6" xfId="702"/>
    <cellStyle name="Акцент1 6 2" xfId="703"/>
    <cellStyle name="Акцент1 7" xfId="704"/>
    <cellStyle name="Акцент1 7 2" xfId="705"/>
    <cellStyle name="Акцент1 8" xfId="706"/>
    <cellStyle name="Акцент1 8 2" xfId="707"/>
    <cellStyle name="Акцент1 9" xfId="708"/>
    <cellStyle name="Акцент1 9 2" xfId="709"/>
    <cellStyle name="Акцент2 10" xfId="710"/>
    <cellStyle name="Акцент2 10 2" xfId="711"/>
    <cellStyle name="Акцент2 11" xfId="712"/>
    <cellStyle name="Акцент2 11 2" xfId="713"/>
    <cellStyle name="Акцент2 12" xfId="714"/>
    <cellStyle name="Акцент2 12 2" xfId="715"/>
    <cellStyle name="Акцент2 13" xfId="716"/>
    <cellStyle name="Акцент2 13 2" xfId="717"/>
    <cellStyle name="Акцент2 14" xfId="718"/>
    <cellStyle name="Акцент2 14 2" xfId="719"/>
    <cellStyle name="Акцент2 15" xfId="720"/>
    <cellStyle name="Акцент2 15 2" xfId="721"/>
    <cellStyle name="Акцент2 16 2" xfId="722"/>
    <cellStyle name="Акцент2 17 2" xfId="723"/>
    <cellStyle name="Акцент2 18 2" xfId="724"/>
    <cellStyle name="Акцент2 19 2" xfId="725"/>
    <cellStyle name="Акцент2 2" xfId="726"/>
    <cellStyle name="Акцент2 2 2" xfId="727"/>
    <cellStyle name="Акцент2 2 2 2" xfId="728"/>
    <cellStyle name="Акцент2 3" xfId="729"/>
    <cellStyle name="Акцент2 3 2" xfId="730"/>
    <cellStyle name="Акцент2 4" xfId="731"/>
    <cellStyle name="Акцент2 4 2" xfId="732"/>
    <cellStyle name="Акцент2 5" xfId="733"/>
    <cellStyle name="Акцент2 5 2" xfId="734"/>
    <cellStyle name="Акцент2 6" xfId="735"/>
    <cellStyle name="Акцент2 6 2" xfId="736"/>
    <cellStyle name="Акцент2 7" xfId="737"/>
    <cellStyle name="Акцент2 7 2" xfId="738"/>
    <cellStyle name="Акцент2 8" xfId="739"/>
    <cellStyle name="Акцент2 8 2" xfId="740"/>
    <cellStyle name="Акцент2 9" xfId="741"/>
    <cellStyle name="Акцент2 9 2" xfId="742"/>
    <cellStyle name="Акцент3 10" xfId="743"/>
    <cellStyle name="Акцент3 10 2" xfId="744"/>
    <cellStyle name="Акцент3 11" xfId="745"/>
    <cellStyle name="Акцент3 11 2" xfId="746"/>
    <cellStyle name="Акцент3 12" xfId="747"/>
    <cellStyle name="Акцент3 12 2" xfId="748"/>
    <cellStyle name="Акцент3 13" xfId="749"/>
    <cellStyle name="Акцент3 13 2" xfId="750"/>
    <cellStyle name="Акцент3 14" xfId="751"/>
    <cellStyle name="Акцент3 14 2" xfId="752"/>
    <cellStyle name="Акцент3 15" xfId="753"/>
    <cellStyle name="Акцент3 15 2" xfId="754"/>
    <cellStyle name="Акцент3 16 2" xfId="755"/>
    <cellStyle name="Акцент3 17 2" xfId="756"/>
    <cellStyle name="Акцент3 18 2" xfId="757"/>
    <cellStyle name="Акцент3 19 2" xfId="758"/>
    <cellStyle name="Акцент3 2" xfId="759"/>
    <cellStyle name="Акцент3 2 2" xfId="760"/>
    <cellStyle name="Акцент3 2 2 2" xfId="761"/>
    <cellStyle name="Акцент3 3" xfId="762"/>
    <cellStyle name="Акцент3 3 2" xfId="763"/>
    <cellStyle name="Акцент3 4" xfId="764"/>
    <cellStyle name="Акцент3 4 2" xfId="765"/>
    <cellStyle name="Акцент3 5" xfId="766"/>
    <cellStyle name="Акцент3 5 2" xfId="767"/>
    <cellStyle name="Акцент3 6" xfId="768"/>
    <cellStyle name="Акцент3 6 2" xfId="769"/>
    <cellStyle name="Акцент3 7" xfId="770"/>
    <cellStyle name="Акцент3 7 2" xfId="771"/>
    <cellStyle name="Акцент3 8" xfId="772"/>
    <cellStyle name="Акцент3 8 2" xfId="773"/>
    <cellStyle name="Акцент3 9" xfId="774"/>
    <cellStyle name="Акцент3 9 2" xfId="775"/>
    <cellStyle name="Акцент4 10" xfId="776"/>
    <cellStyle name="Акцент4 10 2" xfId="777"/>
    <cellStyle name="Акцент4 11" xfId="778"/>
    <cellStyle name="Акцент4 11 2" xfId="779"/>
    <cellStyle name="Акцент4 12" xfId="780"/>
    <cellStyle name="Акцент4 12 2" xfId="781"/>
    <cellStyle name="Акцент4 13" xfId="782"/>
    <cellStyle name="Акцент4 13 2" xfId="783"/>
    <cellStyle name="Акцент4 14" xfId="784"/>
    <cellStyle name="Акцент4 14 2" xfId="785"/>
    <cellStyle name="Акцент4 15" xfId="786"/>
    <cellStyle name="Акцент4 15 2" xfId="787"/>
    <cellStyle name="Акцент4 16 2" xfId="788"/>
    <cellStyle name="Акцент4 17 2" xfId="789"/>
    <cellStyle name="Акцент4 18 2" xfId="790"/>
    <cellStyle name="Акцент4 19 2" xfId="791"/>
    <cellStyle name="Акцент4 2" xfId="792"/>
    <cellStyle name="Акцент4 2 2" xfId="793"/>
    <cellStyle name="Акцент4 2 2 2" xfId="794"/>
    <cellStyle name="Акцент4 2 2_Свод_Гумбулак" xfId="795"/>
    <cellStyle name="Акцент4 3" xfId="796"/>
    <cellStyle name="Акцент4 3 2" xfId="797"/>
    <cellStyle name="Акцент4 4" xfId="798"/>
    <cellStyle name="Акцент4 4 2" xfId="799"/>
    <cellStyle name="Акцент4 5" xfId="800"/>
    <cellStyle name="Акцент4 5 2" xfId="801"/>
    <cellStyle name="Акцент4 6" xfId="802"/>
    <cellStyle name="Акцент4 6 2" xfId="803"/>
    <cellStyle name="Акцент4 7" xfId="804"/>
    <cellStyle name="Акцент4 7 2" xfId="805"/>
    <cellStyle name="Акцент4 8" xfId="806"/>
    <cellStyle name="Акцент4 8 2" xfId="807"/>
    <cellStyle name="Акцент4 9" xfId="808"/>
    <cellStyle name="Акцент4 9 2" xfId="809"/>
    <cellStyle name="Акцент5 10" xfId="810"/>
    <cellStyle name="Акцент5 10 2" xfId="811"/>
    <cellStyle name="Акцент5 11" xfId="812"/>
    <cellStyle name="Акцент5 11 2" xfId="813"/>
    <cellStyle name="Акцент5 12" xfId="814"/>
    <cellStyle name="Акцент5 12 2" xfId="815"/>
    <cellStyle name="Акцент5 13" xfId="816"/>
    <cellStyle name="Акцент5 13 2" xfId="817"/>
    <cellStyle name="Акцент5 14" xfId="818"/>
    <cellStyle name="Акцент5 14 2" xfId="819"/>
    <cellStyle name="Акцент5 15" xfId="820"/>
    <cellStyle name="Акцент5 15 2" xfId="821"/>
    <cellStyle name="Акцент5 16 2" xfId="822"/>
    <cellStyle name="Акцент5 17 2" xfId="823"/>
    <cellStyle name="Акцент5 18 2" xfId="824"/>
    <cellStyle name="Акцент5 19 2" xfId="825"/>
    <cellStyle name="Акцент5 2" xfId="826"/>
    <cellStyle name="Акцент5 2 2" xfId="827"/>
    <cellStyle name="Акцент5 2 2 2" xfId="828"/>
    <cellStyle name="Акцент5 3" xfId="829"/>
    <cellStyle name="Акцент5 3 2" xfId="830"/>
    <cellStyle name="Акцент5 4" xfId="831"/>
    <cellStyle name="Акцент5 4 2" xfId="832"/>
    <cellStyle name="Акцент5 5" xfId="833"/>
    <cellStyle name="Акцент5 5 2" xfId="834"/>
    <cellStyle name="Акцент5 6" xfId="835"/>
    <cellStyle name="Акцент5 6 2" xfId="836"/>
    <cellStyle name="Акцент5 7" xfId="837"/>
    <cellStyle name="Акцент5 7 2" xfId="838"/>
    <cellStyle name="Акцент5 8" xfId="839"/>
    <cellStyle name="Акцент5 8 2" xfId="840"/>
    <cellStyle name="Акцент5 9" xfId="841"/>
    <cellStyle name="Акцент5 9 2" xfId="842"/>
    <cellStyle name="Акцент6 10" xfId="843"/>
    <cellStyle name="Акцент6 10 2" xfId="844"/>
    <cellStyle name="Акцент6 11" xfId="845"/>
    <cellStyle name="Акцент6 11 2" xfId="846"/>
    <cellStyle name="Акцент6 12" xfId="847"/>
    <cellStyle name="Акцент6 12 2" xfId="848"/>
    <cellStyle name="Акцент6 13" xfId="849"/>
    <cellStyle name="Акцент6 13 2" xfId="850"/>
    <cellStyle name="Акцент6 14" xfId="851"/>
    <cellStyle name="Акцент6 14 2" xfId="852"/>
    <cellStyle name="Акцент6 15" xfId="853"/>
    <cellStyle name="Акцент6 15 2" xfId="854"/>
    <cellStyle name="Акцент6 16 2" xfId="855"/>
    <cellStyle name="Акцент6 17 2" xfId="856"/>
    <cellStyle name="Акцент6 18 2" xfId="857"/>
    <cellStyle name="Акцент6 19 2" xfId="858"/>
    <cellStyle name="Акцент6 2" xfId="859"/>
    <cellStyle name="Акцент6 2 2" xfId="860"/>
    <cellStyle name="Акцент6 2 2 2" xfId="861"/>
    <cellStyle name="Акцент6 3" xfId="862"/>
    <cellStyle name="Акцент6 3 2" xfId="863"/>
    <cellStyle name="Акцент6 4" xfId="864"/>
    <cellStyle name="Акцент6 4 2" xfId="865"/>
    <cellStyle name="Акцент6 5" xfId="866"/>
    <cellStyle name="Акцент6 5 2" xfId="867"/>
    <cellStyle name="Акцент6 6" xfId="868"/>
    <cellStyle name="Акцент6 6 2" xfId="869"/>
    <cellStyle name="Акцент6 7" xfId="870"/>
    <cellStyle name="Акцент6 7 2" xfId="871"/>
    <cellStyle name="Акцент6 8" xfId="872"/>
    <cellStyle name="Акцент6 8 2" xfId="873"/>
    <cellStyle name="Акцент6 9" xfId="874"/>
    <cellStyle name="Акцент6 9 2" xfId="875"/>
    <cellStyle name="Ввод  10" xfId="876"/>
    <cellStyle name="Ввод  10 2" xfId="877"/>
    <cellStyle name="Ввод  11" xfId="878"/>
    <cellStyle name="Ввод  11 2" xfId="879"/>
    <cellStyle name="Ввод  12" xfId="880"/>
    <cellStyle name="Ввод  12 2" xfId="881"/>
    <cellStyle name="Ввод  13" xfId="882"/>
    <cellStyle name="Ввод  13 2" xfId="883"/>
    <cellStyle name="Ввод  14" xfId="884"/>
    <cellStyle name="Ввод  14 2" xfId="885"/>
    <cellStyle name="Ввод  15" xfId="886"/>
    <cellStyle name="Ввод  15 2" xfId="887"/>
    <cellStyle name="Ввод  16 2" xfId="888"/>
    <cellStyle name="Ввод  17 2" xfId="889"/>
    <cellStyle name="Ввод  18 2" xfId="890"/>
    <cellStyle name="Ввод  19 2" xfId="891"/>
    <cellStyle name="Ввод  2" xfId="892"/>
    <cellStyle name="Ввод  2 2" xfId="893"/>
    <cellStyle name="Ввод  2 2 2" xfId="894"/>
    <cellStyle name="Ввод  3" xfId="895"/>
    <cellStyle name="Ввод  3 2" xfId="896"/>
    <cellStyle name="Ввод  4" xfId="897"/>
    <cellStyle name="Ввод  4 2" xfId="898"/>
    <cellStyle name="Ввод  5" xfId="899"/>
    <cellStyle name="Ввод  5 2" xfId="900"/>
    <cellStyle name="Ввод  6" xfId="901"/>
    <cellStyle name="Ввод  6 2" xfId="902"/>
    <cellStyle name="Ввод  7" xfId="903"/>
    <cellStyle name="Ввод  7 2" xfId="904"/>
    <cellStyle name="Ввод  8" xfId="905"/>
    <cellStyle name="Ввод  8 2" xfId="906"/>
    <cellStyle name="Ввод  9" xfId="907"/>
    <cellStyle name="Ввод  9 2" xfId="908"/>
    <cellStyle name="Вывод 10" xfId="909"/>
    <cellStyle name="Вывод 10 2" xfId="910"/>
    <cellStyle name="Вывод 11" xfId="911"/>
    <cellStyle name="Вывод 11 2" xfId="912"/>
    <cellStyle name="Вывод 12" xfId="913"/>
    <cellStyle name="Вывод 12 2" xfId="914"/>
    <cellStyle name="Вывод 13" xfId="915"/>
    <cellStyle name="Вывод 13 2" xfId="916"/>
    <cellStyle name="Вывод 14" xfId="917"/>
    <cellStyle name="Вывод 14 2" xfId="918"/>
    <cellStyle name="Вывод 15" xfId="919"/>
    <cellStyle name="Вывод 15 2" xfId="920"/>
    <cellStyle name="Вывод 16 2" xfId="921"/>
    <cellStyle name="Вывод 17 2" xfId="922"/>
    <cellStyle name="Вывод 18 2" xfId="923"/>
    <cellStyle name="Вывод 19 2" xfId="924"/>
    <cellStyle name="Вывод 2" xfId="925"/>
    <cellStyle name="Вывод 2 2" xfId="926"/>
    <cellStyle name="Вывод 2 2 2" xfId="927"/>
    <cellStyle name="Вывод 2 2_Свод_Гумбулак" xfId="928"/>
    <cellStyle name="Вывод 3" xfId="929"/>
    <cellStyle name="Вывод 3 2" xfId="930"/>
    <cellStyle name="Вывод 4" xfId="931"/>
    <cellStyle name="Вывод 4 2" xfId="932"/>
    <cellStyle name="Вывод 5" xfId="933"/>
    <cellStyle name="Вывод 5 2" xfId="934"/>
    <cellStyle name="Вывод 6" xfId="935"/>
    <cellStyle name="Вывод 6 2" xfId="936"/>
    <cellStyle name="Вывод 7" xfId="937"/>
    <cellStyle name="Вывод 7 2" xfId="938"/>
    <cellStyle name="Вывод 8" xfId="939"/>
    <cellStyle name="Вывод 8 2" xfId="940"/>
    <cellStyle name="Вывод 9" xfId="941"/>
    <cellStyle name="Вывод 9 2" xfId="942"/>
    <cellStyle name="Вычисление 10" xfId="943"/>
    <cellStyle name="Вычисление 10 2" xfId="944"/>
    <cellStyle name="Вычисление 11" xfId="945"/>
    <cellStyle name="Вычисление 11 2" xfId="946"/>
    <cellStyle name="Вычисление 12" xfId="947"/>
    <cellStyle name="Вычисление 12 2" xfId="948"/>
    <cellStyle name="Вычисление 13" xfId="949"/>
    <cellStyle name="Вычисление 13 2" xfId="950"/>
    <cellStyle name="Вычисление 14" xfId="951"/>
    <cellStyle name="Вычисление 14 2" xfId="952"/>
    <cellStyle name="Вычисление 15" xfId="953"/>
    <cellStyle name="Вычисление 15 2" xfId="954"/>
    <cellStyle name="Вычисление 16 2" xfId="955"/>
    <cellStyle name="Вычисление 17 2" xfId="956"/>
    <cellStyle name="Вычисление 18 2" xfId="957"/>
    <cellStyle name="Вычисление 19 2" xfId="958"/>
    <cellStyle name="Вычисление 2" xfId="959"/>
    <cellStyle name="Вычисление 2 2" xfId="960"/>
    <cellStyle name="Вычисление 2 2 2" xfId="961"/>
    <cellStyle name="Вычисление 2 2_Свод_Гумбулак" xfId="962"/>
    <cellStyle name="Вычисление 3" xfId="963"/>
    <cellStyle name="Вычисление 3 2" xfId="964"/>
    <cellStyle name="Вычисление 4" xfId="965"/>
    <cellStyle name="Вычисление 4 2" xfId="966"/>
    <cellStyle name="Вычисление 5" xfId="967"/>
    <cellStyle name="Вычисление 5 2" xfId="968"/>
    <cellStyle name="Вычисление 6" xfId="969"/>
    <cellStyle name="Вычисление 6 2" xfId="970"/>
    <cellStyle name="Вычисление 7" xfId="971"/>
    <cellStyle name="Вычисление 7 2" xfId="972"/>
    <cellStyle name="Вычисление 8" xfId="973"/>
    <cellStyle name="Вычисление 8 2" xfId="974"/>
    <cellStyle name="Вычисление 9" xfId="975"/>
    <cellStyle name="Вычисление 9 2" xfId="976"/>
    <cellStyle name="Денежный 10" xfId="977"/>
    <cellStyle name="Денежный 10 2" xfId="978"/>
    <cellStyle name="Денежный 11" xfId="979"/>
    <cellStyle name="Денежный 11 2" xfId="980"/>
    <cellStyle name="Денежный 12" xfId="981"/>
    <cellStyle name="Денежный 12 2" xfId="982"/>
    <cellStyle name="Денежный 13" xfId="983"/>
    <cellStyle name="Денежный 13 2" xfId="984"/>
    <cellStyle name="Денежный 14" xfId="985"/>
    <cellStyle name="Денежный 14 2" xfId="986"/>
    <cellStyle name="Денежный 15" xfId="987"/>
    <cellStyle name="Денежный 15 2" xfId="988"/>
    <cellStyle name="Денежный 16" xfId="989"/>
    <cellStyle name="Денежный 16 2" xfId="990"/>
    <cellStyle name="Денежный 17" xfId="991"/>
    <cellStyle name="Денежный 17 2" xfId="992"/>
    <cellStyle name="Денежный 18" xfId="993"/>
    <cellStyle name="Денежный 18 2" xfId="994"/>
    <cellStyle name="Денежный 19" xfId="995"/>
    <cellStyle name="Денежный 19 2" xfId="996"/>
    <cellStyle name="Денежный 2" xfId="997"/>
    <cellStyle name="Денежный 20 2" xfId="998"/>
    <cellStyle name="Денежный 21 2" xfId="999"/>
    <cellStyle name="Денежный 22 2" xfId="1000"/>
    <cellStyle name="Денежный 23 2" xfId="1001"/>
    <cellStyle name="Денежный 25" xfId="1002"/>
    <cellStyle name="Денежный 3" xfId="1003"/>
    <cellStyle name="Денежный 3 2" xfId="1004"/>
    <cellStyle name="Денежный 4" xfId="1005"/>
    <cellStyle name="Денежный 4 2" xfId="1006"/>
    <cellStyle name="Денежный 5" xfId="1007"/>
    <cellStyle name="Денежный 5 2" xfId="1008"/>
    <cellStyle name="Денежный 6" xfId="1009"/>
    <cellStyle name="Денежный 6 2" xfId="1010"/>
    <cellStyle name="Денежный 7" xfId="1011"/>
    <cellStyle name="Денежный 7 2" xfId="1012"/>
    <cellStyle name="Денежный 8" xfId="1013"/>
    <cellStyle name="Денежный 8 2" xfId="1014"/>
    <cellStyle name="Денежный 9" xfId="1015"/>
    <cellStyle name="Денежный 9 2" xfId="1016"/>
    <cellStyle name="Заголовок 1 10" xfId="1017"/>
    <cellStyle name="Заголовок 1 10 2" xfId="1018"/>
    <cellStyle name="Заголовок 1 11" xfId="1019"/>
    <cellStyle name="Заголовок 1 11 2" xfId="1020"/>
    <cellStyle name="Заголовок 1 12" xfId="1021"/>
    <cellStyle name="Заголовок 1 12 2" xfId="1022"/>
    <cellStyle name="Заголовок 1 13" xfId="1023"/>
    <cellStyle name="Заголовок 1 13 2" xfId="1024"/>
    <cellStyle name="Заголовок 1 14" xfId="1025"/>
    <cellStyle name="Заголовок 1 14 2" xfId="1026"/>
    <cellStyle name="Заголовок 1 15" xfId="1027"/>
    <cellStyle name="Заголовок 1 15 2" xfId="1028"/>
    <cellStyle name="Заголовок 1 16 2" xfId="1029"/>
    <cellStyle name="Заголовок 1 17 2" xfId="1030"/>
    <cellStyle name="Заголовок 1 18 2" xfId="1031"/>
    <cellStyle name="Заголовок 1 19 2" xfId="1032"/>
    <cellStyle name="Заголовок 1 2" xfId="1033"/>
    <cellStyle name="Заголовок 1 2 2" xfId="1034"/>
    <cellStyle name="Заголовок 1 2 2 2" xfId="1035"/>
    <cellStyle name="Заголовок 1 2 2_Свод_Гумбулак" xfId="1036"/>
    <cellStyle name="Заголовок 1 3" xfId="1037"/>
    <cellStyle name="Заголовок 1 3 2" xfId="1038"/>
    <cellStyle name="Заголовок 1 4" xfId="1039"/>
    <cellStyle name="Заголовок 1 4 2" xfId="1040"/>
    <cellStyle name="Заголовок 1 5" xfId="1041"/>
    <cellStyle name="Заголовок 1 5 2" xfId="1042"/>
    <cellStyle name="Заголовок 1 6" xfId="1043"/>
    <cellStyle name="Заголовок 1 6 2" xfId="1044"/>
    <cellStyle name="Заголовок 1 7" xfId="1045"/>
    <cellStyle name="Заголовок 1 7 2" xfId="1046"/>
    <cellStyle name="Заголовок 1 8" xfId="1047"/>
    <cellStyle name="Заголовок 1 8 2" xfId="1048"/>
    <cellStyle name="Заголовок 1 9" xfId="1049"/>
    <cellStyle name="Заголовок 1 9 2" xfId="1050"/>
    <cellStyle name="Заголовок 2 10" xfId="1051"/>
    <cellStyle name="Заголовок 2 10 2" xfId="1052"/>
    <cellStyle name="Заголовок 2 11" xfId="1053"/>
    <cellStyle name="Заголовок 2 11 2" xfId="1054"/>
    <cellStyle name="Заголовок 2 12" xfId="1055"/>
    <cellStyle name="Заголовок 2 12 2" xfId="1056"/>
    <cellStyle name="Заголовок 2 13" xfId="1057"/>
    <cellStyle name="Заголовок 2 13 2" xfId="1058"/>
    <cellStyle name="Заголовок 2 14" xfId="1059"/>
    <cellStyle name="Заголовок 2 14 2" xfId="1060"/>
    <cellStyle name="Заголовок 2 15" xfId="1061"/>
    <cellStyle name="Заголовок 2 15 2" xfId="1062"/>
    <cellStyle name="Заголовок 2 16 2" xfId="1063"/>
    <cellStyle name="Заголовок 2 17 2" xfId="1064"/>
    <cellStyle name="Заголовок 2 18 2" xfId="1065"/>
    <cellStyle name="Заголовок 2 19 2" xfId="1066"/>
    <cellStyle name="Заголовок 2 2" xfId="1067"/>
    <cellStyle name="Заголовок 2 2 2" xfId="1068"/>
    <cellStyle name="Заголовок 2 2 2 2" xfId="1069"/>
    <cellStyle name="Заголовок 2 2 2_Свод_Гумбулак" xfId="1070"/>
    <cellStyle name="Заголовок 2 3" xfId="1071"/>
    <cellStyle name="Заголовок 2 3 2" xfId="1072"/>
    <cellStyle name="Заголовок 2 4" xfId="1073"/>
    <cellStyle name="Заголовок 2 4 2" xfId="1074"/>
    <cellStyle name="Заголовок 2 5" xfId="1075"/>
    <cellStyle name="Заголовок 2 5 2" xfId="1076"/>
    <cellStyle name="Заголовок 2 6" xfId="1077"/>
    <cellStyle name="Заголовок 2 6 2" xfId="1078"/>
    <cellStyle name="Заголовок 2 7" xfId="1079"/>
    <cellStyle name="Заголовок 2 7 2" xfId="1080"/>
    <cellStyle name="Заголовок 2 8" xfId="1081"/>
    <cellStyle name="Заголовок 2 8 2" xfId="1082"/>
    <cellStyle name="Заголовок 2 9" xfId="1083"/>
    <cellStyle name="Заголовок 2 9 2" xfId="1084"/>
    <cellStyle name="Заголовок 3 10" xfId="1085"/>
    <cellStyle name="Заголовок 3 10 2" xfId="1086"/>
    <cellStyle name="Заголовок 3 11" xfId="1087"/>
    <cellStyle name="Заголовок 3 11 2" xfId="1088"/>
    <cellStyle name="Заголовок 3 12" xfId="1089"/>
    <cellStyle name="Заголовок 3 12 2" xfId="1090"/>
    <cellStyle name="Заголовок 3 13" xfId="1091"/>
    <cellStyle name="Заголовок 3 13 2" xfId="1092"/>
    <cellStyle name="Заголовок 3 14" xfId="1093"/>
    <cellStyle name="Заголовок 3 14 2" xfId="1094"/>
    <cellStyle name="Заголовок 3 15" xfId="1095"/>
    <cellStyle name="Заголовок 3 15 2" xfId="1096"/>
    <cellStyle name="Заголовок 3 16 2" xfId="1097"/>
    <cellStyle name="Заголовок 3 17 2" xfId="1098"/>
    <cellStyle name="Заголовок 3 18 2" xfId="1099"/>
    <cellStyle name="Заголовок 3 19 2" xfId="1100"/>
    <cellStyle name="Заголовок 3 2" xfId="1101"/>
    <cellStyle name="Заголовок 3 2 2" xfId="1102"/>
    <cellStyle name="Заголовок 3 2 2 2" xfId="1103"/>
    <cellStyle name="Заголовок 3 2 2_Свод_Гумбулак" xfId="1104"/>
    <cellStyle name="Заголовок 3 3" xfId="1105"/>
    <cellStyle name="Заголовок 3 3 2" xfId="1106"/>
    <cellStyle name="Заголовок 3 4" xfId="1107"/>
    <cellStyle name="Заголовок 3 4 2" xfId="1108"/>
    <cellStyle name="Заголовок 3 5" xfId="1109"/>
    <cellStyle name="Заголовок 3 5 2" xfId="1110"/>
    <cellStyle name="Заголовок 3 6" xfId="1111"/>
    <cellStyle name="Заголовок 3 6 2" xfId="1112"/>
    <cellStyle name="Заголовок 3 7" xfId="1113"/>
    <cellStyle name="Заголовок 3 7 2" xfId="1114"/>
    <cellStyle name="Заголовок 3 8" xfId="1115"/>
    <cellStyle name="Заголовок 3 8 2" xfId="1116"/>
    <cellStyle name="Заголовок 3 9" xfId="1117"/>
    <cellStyle name="Заголовок 3 9 2" xfId="1118"/>
    <cellStyle name="Заголовок 4 10" xfId="1119"/>
    <cellStyle name="Заголовок 4 10 2" xfId="1120"/>
    <cellStyle name="Заголовок 4 11" xfId="1121"/>
    <cellStyle name="Заголовок 4 11 2" xfId="1122"/>
    <cellStyle name="Заголовок 4 12" xfId="1123"/>
    <cellStyle name="Заголовок 4 12 2" xfId="1124"/>
    <cellStyle name="Заголовок 4 13" xfId="1125"/>
    <cellStyle name="Заголовок 4 13 2" xfId="1126"/>
    <cellStyle name="Заголовок 4 14" xfId="1127"/>
    <cellStyle name="Заголовок 4 14 2" xfId="1128"/>
    <cellStyle name="Заголовок 4 15" xfId="1129"/>
    <cellStyle name="Заголовок 4 15 2" xfId="1130"/>
    <cellStyle name="Заголовок 4 16 2" xfId="1131"/>
    <cellStyle name="Заголовок 4 17 2" xfId="1132"/>
    <cellStyle name="Заголовок 4 18 2" xfId="1133"/>
    <cellStyle name="Заголовок 4 19 2" xfId="1134"/>
    <cellStyle name="Заголовок 4 2" xfId="1135"/>
    <cellStyle name="Заголовок 4 2 2" xfId="1136"/>
    <cellStyle name="Заголовок 4 2 2 2" xfId="1137"/>
    <cellStyle name="Заголовок 4 2 2_Свод_Гумбулак" xfId="1138"/>
    <cellStyle name="Заголовок 4 3" xfId="1139"/>
    <cellStyle name="Заголовок 4 3 2" xfId="1140"/>
    <cellStyle name="Заголовок 4 4" xfId="1141"/>
    <cellStyle name="Заголовок 4 4 2" xfId="1142"/>
    <cellStyle name="Заголовок 4 5" xfId="1143"/>
    <cellStyle name="Заголовок 4 5 2" xfId="1144"/>
    <cellStyle name="Заголовок 4 6" xfId="1145"/>
    <cellStyle name="Заголовок 4 6 2" xfId="1146"/>
    <cellStyle name="Заголовок 4 7" xfId="1147"/>
    <cellStyle name="Заголовок 4 7 2" xfId="1148"/>
    <cellStyle name="Заголовок 4 8" xfId="1149"/>
    <cellStyle name="Заголовок 4 8 2" xfId="1150"/>
    <cellStyle name="Заголовок 4 9" xfId="1151"/>
    <cellStyle name="Заголовок 4 9 2" xfId="1152"/>
    <cellStyle name="Итог 10" xfId="1153"/>
    <cellStyle name="Итог 10 2" xfId="1154"/>
    <cellStyle name="Итог 11" xfId="1155"/>
    <cellStyle name="Итог 11 2" xfId="1156"/>
    <cellStyle name="Итог 12" xfId="1157"/>
    <cellStyle name="Итог 12 2" xfId="1158"/>
    <cellStyle name="Итог 13" xfId="1159"/>
    <cellStyle name="Итог 13 2" xfId="1160"/>
    <cellStyle name="Итог 14" xfId="1161"/>
    <cellStyle name="Итог 14 2" xfId="1162"/>
    <cellStyle name="Итог 15" xfId="1163"/>
    <cellStyle name="Итог 15 2" xfId="1164"/>
    <cellStyle name="Итог 16 2" xfId="1165"/>
    <cellStyle name="Итог 17 2" xfId="1166"/>
    <cellStyle name="Итог 18 2" xfId="1167"/>
    <cellStyle name="Итог 19 2" xfId="1168"/>
    <cellStyle name="Итог 2" xfId="1169"/>
    <cellStyle name="Итог 2 2" xfId="1170"/>
    <cellStyle name="Итог 2 2 2" xfId="1171"/>
    <cellStyle name="Итог 2 2_Свод_Гумбулак" xfId="1172"/>
    <cellStyle name="Итог 3" xfId="1173"/>
    <cellStyle name="Итог 3 2" xfId="1174"/>
    <cellStyle name="Итог 4" xfId="1175"/>
    <cellStyle name="Итог 4 2" xfId="1176"/>
    <cellStyle name="Итог 5" xfId="1177"/>
    <cellStyle name="Итог 5 2" xfId="1178"/>
    <cellStyle name="Итог 6" xfId="1179"/>
    <cellStyle name="Итог 6 2" xfId="1180"/>
    <cellStyle name="Итог 7" xfId="1181"/>
    <cellStyle name="Итог 7 2" xfId="1182"/>
    <cellStyle name="Итог 8" xfId="1183"/>
    <cellStyle name="Итог 8 2" xfId="1184"/>
    <cellStyle name="Итог 9" xfId="1185"/>
    <cellStyle name="Итог 9 2" xfId="1186"/>
    <cellStyle name="Контрольная ячейка 10" xfId="1187"/>
    <cellStyle name="Контрольная ячейка 10 2" xfId="1188"/>
    <cellStyle name="Контрольная ячейка 11" xfId="1189"/>
    <cellStyle name="Контрольная ячейка 11 2" xfId="1190"/>
    <cellStyle name="Контрольная ячейка 12" xfId="1191"/>
    <cellStyle name="Контрольная ячейка 12 2" xfId="1192"/>
    <cellStyle name="Контрольная ячейка 13" xfId="1193"/>
    <cellStyle name="Контрольная ячейка 13 2" xfId="1194"/>
    <cellStyle name="Контрольная ячейка 14" xfId="1195"/>
    <cellStyle name="Контрольная ячейка 14 2" xfId="1196"/>
    <cellStyle name="Контрольная ячейка 15" xfId="1197"/>
    <cellStyle name="Контрольная ячейка 15 2" xfId="1198"/>
    <cellStyle name="Контрольная ячейка 16 2" xfId="1199"/>
    <cellStyle name="Контрольная ячейка 17 2" xfId="1200"/>
    <cellStyle name="Контрольная ячейка 18 2" xfId="1201"/>
    <cellStyle name="Контрольная ячейка 19 2" xfId="1202"/>
    <cellStyle name="Контрольная ячейка 2" xfId="1203"/>
    <cellStyle name="Контрольная ячейка 2 2" xfId="1204"/>
    <cellStyle name="Контрольная ячейка 2 2 2" xfId="1205"/>
    <cellStyle name="Контрольная ячейка 3" xfId="1206"/>
    <cellStyle name="Контрольная ячейка 3 2" xfId="1207"/>
    <cellStyle name="Контрольная ячейка 4" xfId="1208"/>
    <cellStyle name="Контрольная ячейка 4 2" xfId="1209"/>
    <cellStyle name="Контрольная ячейка 5" xfId="1210"/>
    <cellStyle name="Контрольная ячейка 5 2" xfId="1211"/>
    <cellStyle name="Контрольная ячейка 6" xfId="1212"/>
    <cellStyle name="Контрольная ячейка 6 2" xfId="1213"/>
    <cellStyle name="Контрольная ячейка 7" xfId="1214"/>
    <cellStyle name="Контрольная ячейка 7 2" xfId="1215"/>
    <cellStyle name="Контрольная ячейка 8" xfId="1216"/>
    <cellStyle name="Контрольная ячейка 8 2" xfId="1217"/>
    <cellStyle name="Контрольная ячейка 9" xfId="1218"/>
    <cellStyle name="Контрольная ячейка 9 2" xfId="1219"/>
    <cellStyle name="Название 2" xfId="1220"/>
    <cellStyle name="Нейтральный 10" xfId="1221"/>
    <cellStyle name="Нейтральный 10 2" xfId="1222"/>
    <cellStyle name="Нейтральный 11" xfId="1223"/>
    <cellStyle name="Нейтральный 11 2" xfId="1224"/>
    <cellStyle name="Нейтральный 12" xfId="1225"/>
    <cellStyle name="Нейтральный 12 2" xfId="1226"/>
    <cellStyle name="Нейтральный 13" xfId="1227"/>
    <cellStyle name="Нейтральный 13 2" xfId="1228"/>
    <cellStyle name="Нейтральный 14" xfId="1229"/>
    <cellStyle name="Нейтральный 14 2" xfId="1230"/>
    <cellStyle name="Нейтральный 15" xfId="1231"/>
    <cellStyle name="Нейтральный 15 2" xfId="1232"/>
    <cellStyle name="Нейтральный 16 2" xfId="1233"/>
    <cellStyle name="Нейтральный 17 2" xfId="1234"/>
    <cellStyle name="Нейтральный 18 2" xfId="1235"/>
    <cellStyle name="Нейтральный 19 2" xfId="1236"/>
    <cellStyle name="Нейтральный 2" xfId="1237"/>
    <cellStyle name="Нейтральный 2 2" xfId="1238"/>
    <cellStyle name="Нейтральный 2 2 2" xfId="1239"/>
    <cellStyle name="Нейтральный 3" xfId="1240"/>
    <cellStyle name="Нейтральный 3 2" xfId="1241"/>
    <cellStyle name="Нейтральный 4" xfId="1242"/>
    <cellStyle name="Нейтральный 4 2" xfId="1243"/>
    <cellStyle name="Нейтральный 5" xfId="1244"/>
    <cellStyle name="Нейтральный 5 2" xfId="1245"/>
    <cellStyle name="Нейтральный 6" xfId="1246"/>
    <cellStyle name="Нейтральный 6 2" xfId="1247"/>
    <cellStyle name="Нейтральный 7" xfId="1248"/>
    <cellStyle name="Нейтральный 7 2" xfId="1249"/>
    <cellStyle name="Нейтральный 8" xfId="1250"/>
    <cellStyle name="Нейтральный 8 2" xfId="1251"/>
    <cellStyle name="Нейтральный 9" xfId="1252"/>
    <cellStyle name="Нейтральный 9 2" xfId="1253"/>
    <cellStyle name="Обычный" xfId="0" builtinId="0"/>
    <cellStyle name="Обычный 10" xfId="1254"/>
    <cellStyle name="Обычный 10 2" xfId="1255"/>
    <cellStyle name="Обычный 10 3" xfId="1256"/>
    <cellStyle name="Обычный 100" xfId="1257"/>
    <cellStyle name="Обычный 101" xfId="1258"/>
    <cellStyle name="Обычный 11" xfId="1259"/>
    <cellStyle name="Обычный 12" xfId="1260"/>
    <cellStyle name="Обычный 13" xfId="1261"/>
    <cellStyle name="Обычный 14" xfId="1262"/>
    <cellStyle name="Обычный 15" xfId="1263"/>
    <cellStyle name="Обычный 15 2" xfId="1264"/>
    <cellStyle name="Обычный 15 3" xfId="1265"/>
    <cellStyle name="Обычный 16" xfId="1266"/>
    <cellStyle name="Обычный 17" xfId="1267"/>
    <cellStyle name="Обычный 18" xfId="1268"/>
    <cellStyle name="Обычный 19" xfId="1269"/>
    <cellStyle name="Обычный 2" xfId="1"/>
    <cellStyle name="Обычный 2 2" xfId="2"/>
    <cellStyle name="Обычный 2 2 2" xfId="1270"/>
    <cellStyle name="Обычный 2 3" xfId="1271"/>
    <cellStyle name="Обычный 2 3 2" xfId="1272"/>
    <cellStyle name="Обычный 2 4" xfId="1273"/>
    <cellStyle name="Обычный 2 5" xfId="1274"/>
    <cellStyle name="Обычный 2_Свод смета 1330-1350" xfId="1275"/>
    <cellStyle name="Обычный 20" xfId="1276"/>
    <cellStyle name="Обычный 21" xfId="1277"/>
    <cellStyle name="Обычный 22" xfId="1278"/>
    <cellStyle name="Обычный 23" xfId="1279"/>
    <cellStyle name="Обычный 24" xfId="1280"/>
    <cellStyle name="Обычный 25" xfId="1281"/>
    <cellStyle name="Обычный 26" xfId="1282"/>
    <cellStyle name="Обычный 27" xfId="1283"/>
    <cellStyle name="Обычный 28" xfId="1284"/>
    <cellStyle name="Обычный 29" xfId="1285"/>
    <cellStyle name="Обычный 3" xfId="3"/>
    <cellStyle name="Обычный 3 2" xfId="1286"/>
    <cellStyle name="Обычный 3_Общ_свод" xfId="1287"/>
    <cellStyle name="Обычный 30" xfId="1288"/>
    <cellStyle name="Обычный 31" xfId="1289"/>
    <cellStyle name="Обычный 32" xfId="1290"/>
    <cellStyle name="Обычный 33" xfId="1291"/>
    <cellStyle name="Обычный 34" xfId="1292"/>
    <cellStyle name="Обычный 35" xfId="1293"/>
    <cellStyle name="Обычный 36" xfId="1294"/>
    <cellStyle name="Обычный 37" xfId="1295"/>
    <cellStyle name="Обычный 37 2" xfId="1296"/>
    <cellStyle name="Обычный 38" xfId="1297"/>
    <cellStyle name="Обычный 39" xfId="1298"/>
    <cellStyle name="Обычный 4" xfId="5"/>
    <cellStyle name="Обычный 4 2" xfId="4"/>
    <cellStyle name="Обычный 40" xfId="1299"/>
    <cellStyle name="Обычный 41" xfId="1300"/>
    <cellStyle name="Обычный 42" xfId="1301"/>
    <cellStyle name="Обычный 43" xfId="1302"/>
    <cellStyle name="Обычный 44" xfId="1303"/>
    <cellStyle name="Обычный 45" xfId="1304"/>
    <cellStyle name="Обычный 46" xfId="1305"/>
    <cellStyle name="Обычный 47" xfId="1306"/>
    <cellStyle name="Обычный 47 2" xfId="1307"/>
    <cellStyle name="Обычный 48" xfId="1308"/>
    <cellStyle name="Обычный 49" xfId="1309"/>
    <cellStyle name="Обычный 5 2" xfId="1310"/>
    <cellStyle name="Обычный 50" xfId="1311"/>
    <cellStyle name="Обычный 51" xfId="1312"/>
    <cellStyle name="Обычный 52" xfId="1313"/>
    <cellStyle name="Обычный 53" xfId="1314"/>
    <cellStyle name="Обычный 54" xfId="1315"/>
    <cellStyle name="Обычный 55" xfId="1316"/>
    <cellStyle name="Обычный 56" xfId="1317"/>
    <cellStyle name="Обычный 57" xfId="1318"/>
    <cellStyle name="Обычный 58" xfId="1319"/>
    <cellStyle name="Обычный 59" xfId="1320"/>
    <cellStyle name="Обычный 60" xfId="1321"/>
    <cellStyle name="Обычный 61" xfId="1322"/>
    <cellStyle name="Обычный 62" xfId="1323"/>
    <cellStyle name="Обычный 63" xfId="1324"/>
    <cellStyle name="Обычный 64" xfId="1325"/>
    <cellStyle name="Обычный 65" xfId="1326"/>
    <cellStyle name="Обычный 66" xfId="1327"/>
    <cellStyle name="Обычный 66 2" xfId="1328"/>
    <cellStyle name="Обычный 67" xfId="1329"/>
    <cellStyle name="Обычный 68" xfId="1330"/>
    <cellStyle name="Обычный 69" xfId="1331"/>
    <cellStyle name="Обычный 70" xfId="1332"/>
    <cellStyle name="Обычный 71" xfId="1333"/>
    <cellStyle name="Обычный 72" xfId="1334"/>
    <cellStyle name="Обычный 73" xfId="1335"/>
    <cellStyle name="Обычный 74" xfId="1336"/>
    <cellStyle name="Обычный 75" xfId="1337"/>
    <cellStyle name="Обычный 76" xfId="1338"/>
    <cellStyle name="Обычный 77" xfId="1339"/>
    <cellStyle name="Обычный 78" xfId="1340"/>
    <cellStyle name="Обычный 79" xfId="1341"/>
    <cellStyle name="Обычный 80" xfId="1342"/>
    <cellStyle name="Обычный 81" xfId="1343"/>
    <cellStyle name="Обычный 82" xfId="1344"/>
    <cellStyle name="Обычный 83" xfId="1345"/>
    <cellStyle name="Обычный 84" xfId="1346"/>
    <cellStyle name="Обычный 85" xfId="1347"/>
    <cellStyle name="Обычный 86" xfId="1348"/>
    <cellStyle name="Обычный 87" xfId="1349"/>
    <cellStyle name="Обычный 88" xfId="1350"/>
    <cellStyle name="Обычный 89" xfId="1351"/>
    <cellStyle name="Обычный 90" xfId="1352"/>
    <cellStyle name="Обычный 91" xfId="1353"/>
    <cellStyle name="Обычный 92" xfId="1354"/>
    <cellStyle name="Обычный 93" xfId="1355"/>
    <cellStyle name="Обычный 94" xfId="1356"/>
    <cellStyle name="Обычный 95" xfId="1357"/>
    <cellStyle name="Обычный 96" xfId="1358"/>
    <cellStyle name="Обычный 97" xfId="1359"/>
    <cellStyle name="Обычный 98" xfId="1360"/>
    <cellStyle name="Обычный 99" xfId="1361"/>
    <cellStyle name="Плохой 10" xfId="1362"/>
    <cellStyle name="Плохой 10 2" xfId="1363"/>
    <cellStyle name="Плохой 11" xfId="1364"/>
    <cellStyle name="Плохой 11 2" xfId="1365"/>
    <cellStyle name="Плохой 12" xfId="1366"/>
    <cellStyle name="Плохой 12 2" xfId="1367"/>
    <cellStyle name="Плохой 13" xfId="1368"/>
    <cellStyle name="Плохой 13 2" xfId="1369"/>
    <cellStyle name="Плохой 14" xfId="1370"/>
    <cellStyle name="Плохой 14 2" xfId="1371"/>
    <cellStyle name="Плохой 15" xfId="1372"/>
    <cellStyle name="Плохой 15 2" xfId="1373"/>
    <cellStyle name="Плохой 16 2" xfId="1374"/>
    <cellStyle name="Плохой 17 2" xfId="1375"/>
    <cellStyle name="Плохой 18 2" xfId="1376"/>
    <cellStyle name="Плохой 19 2" xfId="1377"/>
    <cellStyle name="Плохой 2" xfId="1378"/>
    <cellStyle name="Плохой 2 2" xfId="1379"/>
    <cellStyle name="Плохой 2 2 2" xfId="1380"/>
    <cellStyle name="Плохой 3" xfId="1381"/>
    <cellStyle name="Плохой 3 2" xfId="1382"/>
    <cellStyle name="Плохой 4" xfId="1383"/>
    <cellStyle name="Плохой 4 2" xfId="1384"/>
    <cellStyle name="Плохой 5" xfId="1385"/>
    <cellStyle name="Плохой 5 2" xfId="1386"/>
    <cellStyle name="Плохой 6" xfId="1387"/>
    <cellStyle name="Плохой 6 2" xfId="1388"/>
    <cellStyle name="Плохой 7" xfId="1389"/>
    <cellStyle name="Плохой 7 2" xfId="1390"/>
    <cellStyle name="Плохой 8" xfId="1391"/>
    <cellStyle name="Плохой 8 2" xfId="1392"/>
    <cellStyle name="Плохой 9" xfId="1393"/>
    <cellStyle name="Плохой 9 2" xfId="1394"/>
    <cellStyle name="Пояснение 10" xfId="1395"/>
    <cellStyle name="Пояснение 10 2" xfId="1396"/>
    <cellStyle name="Пояснение 11" xfId="1397"/>
    <cellStyle name="Пояснение 11 2" xfId="1398"/>
    <cellStyle name="Пояснение 12" xfId="1399"/>
    <cellStyle name="Пояснение 12 2" xfId="1400"/>
    <cellStyle name="Пояснение 13" xfId="1401"/>
    <cellStyle name="Пояснение 13 2" xfId="1402"/>
    <cellStyle name="Пояснение 14" xfId="1403"/>
    <cellStyle name="Пояснение 14 2" xfId="1404"/>
    <cellStyle name="Пояснение 15" xfId="1405"/>
    <cellStyle name="Пояснение 15 2" xfId="1406"/>
    <cellStyle name="Пояснение 16 2" xfId="1407"/>
    <cellStyle name="Пояснение 17 2" xfId="1408"/>
    <cellStyle name="Пояснение 18 2" xfId="1409"/>
    <cellStyle name="Пояснение 19 2" xfId="1410"/>
    <cellStyle name="Пояснение 2" xfId="1411"/>
    <cellStyle name="Пояснение 2 2" xfId="1412"/>
    <cellStyle name="Пояснение 2 2 2" xfId="1413"/>
    <cellStyle name="Пояснение 3" xfId="1414"/>
    <cellStyle name="Пояснение 3 2" xfId="1415"/>
    <cellStyle name="Пояснение 4" xfId="1416"/>
    <cellStyle name="Пояснение 4 2" xfId="1417"/>
    <cellStyle name="Пояснение 5" xfId="1418"/>
    <cellStyle name="Пояснение 5 2" xfId="1419"/>
    <cellStyle name="Пояснение 6" xfId="1420"/>
    <cellStyle name="Пояснение 6 2" xfId="1421"/>
    <cellStyle name="Пояснение 7" xfId="1422"/>
    <cellStyle name="Пояснение 7 2" xfId="1423"/>
    <cellStyle name="Пояснение 8" xfId="1424"/>
    <cellStyle name="Пояснение 8 2" xfId="1425"/>
    <cellStyle name="Пояснение 9" xfId="1426"/>
    <cellStyle name="Пояснение 9 2" xfId="1427"/>
    <cellStyle name="Примечание 10" xfId="1428"/>
    <cellStyle name="Примечание 10 2" xfId="1429"/>
    <cellStyle name="Примечание 10 2 2" xfId="1430"/>
    <cellStyle name="Примечание 10 3" xfId="1431"/>
    <cellStyle name="Примечание 10 3 2" xfId="1432"/>
    <cellStyle name="Примечание 10 4" xfId="1433"/>
    <cellStyle name="Примечание 10 4 2" xfId="1434"/>
    <cellStyle name="Примечание 10 5" xfId="1435"/>
    <cellStyle name="Примечание 10 5 2" xfId="1436"/>
    <cellStyle name="Примечание 10 6" xfId="1437"/>
    <cellStyle name="Примечание 11" xfId="1438"/>
    <cellStyle name="Примечание 11 2" xfId="1439"/>
    <cellStyle name="Примечание 11 2 2" xfId="1440"/>
    <cellStyle name="Примечание 11 3" xfId="1441"/>
    <cellStyle name="Примечание 11 3 2" xfId="1442"/>
    <cellStyle name="Примечание 11 4" xfId="1443"/>
    <cellStyle name="Примечание 11 4 2" xfId="1444"/>
    <cellStyle name="Примечание 11 5" xfId="1445"/>
    <cellStyle name="Примечание 11 5 2" xfId="1446"/>
    <cellStyle name="Примечание 11 6" xfId="1447"/>
    <cellStyle name="Примечание 12" xfId="1448"/>
    <cellStyle name="Примечание 12 2" xfId="1449"/>
    <cellStyle name="Примечание 12 2 2" xfId="1450"/>
    <cellStyle name="Примечание 12 3" xfId="1451"/>
    <cellStyle name="Примечание 12 3 2" xfId="1452"/>
    <cellStyle name="Примечание 12 4" xfId="1453"/>
    <cellStyle name="Примечание 12 4 2" xfId="1454"/>
    <cellStyle name="Примечание 12 5" xfId="1455"/>
    <cellStyle name="Примечание 12 5 2" xfId="1456"/>
    <cellStyle name="Примечание 12 6" xfId="1457"/>
    <cellStyle name="Примечание 13" xfId="1458"/>
    <cellStyle name="Примечание 13 2" xfId="1459"/>
    <cellStyle name="Примечание 13 2 2" xfId="1460"/>
    <cellStyle name="Примечание 13 3" xfId="1461"/>
    <cellStyle name="Примечание 13 3 2" xfId="1462"/>
    <cellStyle name="Примечание 13 4" xfId="1463"/>
    <cellStyle name="Примечание 13 4 2" xfId="1464"/>
    <cellStyle name="Примечание 13 5" xfId="1465"/>
    <cellStyle name="Примечание 14" xfId="1466"/>
    <cellStyle name="Примечание 14 2" xfId="1467"/>
    <cellStyle name="Примечание 14 2 2" xfId="1468"/>
    <cellStyle name="Примечание 14 3" xfId="1469"/>
    <cellStyle name="Примечание 14 3 2" xfId="1470"/>
    <cellStyle name="Примечание 14 4" xfId="1471"/>
    <cellStyle name="Примечание 15" xfId="1472"/>
    <cellStyle name="Примечание 15 2" xfId="1473"/>
    <cellStyle name="Примечание 16" xfId="1474"/>
    <cellStyle name="Примечание 16 2" xfId="1475"/>
    <cellStyle name="Примечание 17" xfId="1476"/>
    <cellStyle name="Примечание 17 2" xfId="1477"/>
    <cellStyle name="Примечание 18" xfId="1478"/>
    <cellStyle name="Примечание 18 2" xfId="1479"/>
    <cellStyle name="Примечание 19" xfId="1480"/>
    <cellStyle name="Примечание 19 2" xfId="1481"/>
    <cellStyle name="Примечание 2 2" xfId="1482"/>
    <cellStyle name="Примечание 2 2 2" xfId="1483"/>
    <cellStyle name="Примечание 2 3" xfId="1484"/>
    <cellStyle name="Примечание 2 3 2" xfId="1485"/>
    <cellStyle name="Примечание 2 4" xfId="1486"/>
    <cellStyle name="Примечание 2 4 2" xfId="1487"/>
    <cellStyle name="Примечание 2 5" xfId="1488"/>
    <cellStyle name="Примечание 2 5 2" xfId="1489"/>
    <cellStyle name="Примечание 2 6" xfId="1490"/>
    <cellStyle name="Примечание 20" xfId="1491"/>
    <cellStyle name="Примечание 20 2" xfId="1492"/>
    <cellStyle name="Примечание 21" xfId="1493"/>
    <cellStyle name="Примечание 21 2" xfId="1494"/>
    <cellStyle name="Примечание 22" xfId="1495"/>
    <cellStyle name="Примечание 22 2" xfId="1496"/>
    <cellStyle name="Примечание 23" xfId="1497"/>
    <cellStyle name="Примечание 23 2" xfId="1498"/>
    <cellStyle name="Примечание 24" xfId="1499"/>
    <cellStyle name="Примечание 24 2" xfId="1500"/>
    <cellStyle name="Примечание 25" xfId="1501"/>
    <cellStyle name="Примечание 25 2" xfId="1502"/>
    <cellStyle name="Примечание 26" xfId="1503"/>
    <cellStyle name="Примечание 26 2" xfId="1504"/>
    <cellStyle name="Примечание 27" xfId="1505"/>
    <cellStyle name="Примечание 27 2" xfId="1506"/>
    <cellStyle name="Примечание 28" xfId="1507"/>
    <cellStyle name="Примечание 28 2" xfId="1508"/>
    <cellStyle name="Примечание 29" xfId="1509"/>
    <cellStyle name="Примечание 29 2" xfId="1510"/>
    <cellStyle name="Примечание 3 2" xfId="1511"/>
    <cellStyle name="Примечание 3 2 2" xfId="1512"/>
    <cellStyle name="Примечание 3 3" xfId="1513"/>
    <cellStyle name="Примечание 3 3 2" xfId="1514"/>
    <cellStyle name="Примечание 3 4" xfId="1515"/>
    <cellStyle name="Примечание 3 4 2" xfId="1516"/>
    <cellStyle name="Примечание 3 5" xfId="1517"/>
    <cellStyle name="Примечание 3 5 2" xfId="1518"/>
    <cellStyle name="Примечание 3 6" xfId="1519"/>
    <cellStyle name="Примечание 30" xfId="1520"/>
    <cellStyle name="Примечание 30 2" xfId="1521"/>
    <cellStyle name="Примечание 31" xfId="1522"/>
    <cellStyle name="Примечание 31 2" xfId="1523"/>
    <cellStyle name="Примечание 32" xfId="1524"/>
    <cellStyle name="Примечание 32 2" xfId="1525"/>
    <cellStyle name="Примечание 33" xfId="1526"/>
    <cellStyle name="Примечание 33 2" xfId="1527"/>
    <cellStyle name="Примечание 34" xfId="1528"/>
    <cellStyle name="Примечание 34 2" xfId="1529"/>
    <cellStyle name="Примечание 35" xfId="1530"/>
    <cellStyle name="Примечание 35 2" xfId="1531"/>
    <cellStyle name="Примечание 36" xfId="1532"/>
    <cellStyle name="Примечание 36 2" xfId="1533"/>
    <cellStyle name="Примечание 37" xfId="1534"/>
    <cellStyle name="Примечание 37 2" xfId="1535"/>
    <cellStyle name="Примечание 38" xfId="1536"/>
    <cellStyle name="Примечание 38 2" xfId="1537"/>
    <cellStyle name="Примечание 39" xfId="1538"/>
    <cellStyle name="Примечание 39 2" xfId="1539"/>
    <cellStyle name="Примечание 4 2" xfId="1540"/>
    <cellStyle name="Примечание 4 2 2" xfId="1541"/>
    <cellStyle name="Примечание 4 3" xfId="1542"/>
    <cellStyle name="Примечание 4 3 2" xfId="1543"/>
    <cellStyle name="Примечание 4 4" xfId="1544"/>
    <cellStyle name="Примечание 4 4 2" xfId="1545"/>
    <cellStyle name="Примечание 4 5" xfId="1546"/>
    <cellStyle name="Примечание 4 5 2" xfId="1547"/>
    <cellStyle name="Примечание 4 6" xfId="1548"/>
    <cellStyle name="Примечание 40" xfId="1549"/>
    <cellStyle name="Примечание 40 2" xfId="1550"/>
    <cellStyle name="Примечание 41" xfId="1551"/>
    <cellStyle name="Примечание 41 2" xfId="1552"/>
    <cellStyle name="Примечание 42" xfId="1553"/>
    <cellStyle name="Примечание 42 2" xfId="1554"/>
    <cellStyle name="Примечание 43" xfId="1555"/>
    <cellStyle name="Примечание 43 2" xfId="1556"/>
    <cellStyle name="Примечание 44" xfId="1557"/>
    <cellStyle name="Примечание 44 2" xfId="1558"/>
    <cellStyle name="Примечание 45" xfId="1559"/>
    <cellStyle name="Примечание 45 2" xfId="1560"/>
    <cellStyle name="Примечание 46" xfId="1561"/>
    <cellStyle name="Примечание 46 2" xfId="1562"/>
    <cellStyle name="Примечание 47" xfId="1563"/>
    <cellStyle name="Примечание 47 2" xfId="1564"/>
    <cellStyle name="Примечание 48" xfId="1565"/>
    <cellStyle name="Примечание 48 2" xfId="1566"/>
    <cellStyle name="Примечание 49" xfId="1567"/>
    <cellStyle name="Примечание 49 2" xfId="1568"/>
    <cellStyle name="Примечание 5 2" xfId="1569"/>
    <cellStyle name="Примечание 5 2 2" xfId="1570"/>
    <cellStyle name="Примечание 5 3" xfId="1571"/>
    <cellStyle name="Примечание 5 3 2" xfId="1572"/>
    <cellStyle name="Примечание 5 4" xfId="1573"/>
    <cellStyle name="Примечание 5 4 2" xfId="1574"/>
    <cellStyle name="Примечание 5 5" xfId="1575"/>
    <cellStyle name="Примечание 5 5 2" xfId="1576"/>
    <cellStyle name="Примечание 5 6" xfId="1577"/>
    <cellStyle name="Примечание 50" xfId="1578"/>
    <cellStyle name="Примечание 50 2" xfId="1579"/>
    <cellStyle name="Примечание 51" xfId="1580"/>
    <cellStyle name="Примечание 51 2" xfId="1581"/>
    <cellStyle name="Примечание 52" xfId="1582"/>
    <cellStyle name="Примечание 52 2" xfId="1583"/>
    <cellStyle name="Примечание 53" xfId="1584"/>
    <cellStyle name="Примечание 53 2" xfId="1585"/>
    <cellStyle name="Примечание 54" xfId="1586"/>
    <cellStyle name="Примечание 54 2" xfId="1587"/>
    <cellStyle name="Примечание 55" xfId="1588"/>
    <cellStyle name="Примечание 55 2" xfId="1589"/>
    <cellStyle name="Примечание 56" xfId="1590"/>
    <cellStyle name="Примечание 56 2" xfId="1591"/>
    <cellStyle name="Примечание 57" xfId="1592"/>
    <cellStyle name="Примечание 57 2" xfId="1593"/>
    <cellStyle name="Примечание 58" xfId="1594"/>
    <cellStyle name="Примечание 58 2" xfId="1595"/>
    <cellStyle name="Примечание 59" xfId="1596"/>
    <cellStyle name="Примечание 59 2" xfId="1597"/>
    <cellStyle name="Примечание 6 2" xfId="1598"/>
    <cellStyle name="Примечание 6 2 2" xfId="1599"/>
    <cellStyle name="Примечание 6 3" xfId="1600"/>
    <cellStyle name="Примечание 6 3 2" xfId="1601"/>
    <cellStyle name="Примечание 6 4" xfId="1602"/>
    <cellStyle name="Примечание 6 4 2" xfId="1603"/>
    <cellStyle name="Примечание 6 5" xfId="1604"/>
    <cellStyle name="Примечание 6 5 2" xfId="1605"/>
    <cellStyle name="Примечание 6 6" xfId="1606"/>
    <cellStyle name="Примечание 60" xfId="1607"/>
    <cellStyle name="Примечание 60 2" xfId="1608"/>
    <cellStyle name="Примечание 61" xfId="1609"/>
    <cellStyle name="Примечание 61 2" xfId="1610"/>
    <cellStyle name="Примечание 62" xfId="1611"/>
    <cellStyle name="Примечание 7 2" xfId="1612"/>
    <cellStyle name="Примечание 7 2 2" xfId="1613"/>
    <cellStyle name="Примечание 7 3" xfId="1614"/>
    <cellStyle name="Примечание 7 3 2" xfId="1615"/>
    <cellStyle name="Примечание 7 4" xfId="1616"/>
    <cellStyle name="Примечание 7 4 2" xfId="1617"/>
    <cellStyle name="Примечание 7 5" xfId="1618"/>
    <cellStyle name="Примечание 7 5 2" xfId="1619"/>
    <cellStyle name="Примечание 7 6" xfId="1620"/>
    <cellStyle name="Примечание 8" xfId="1621"/>
    <cellStyle name="Примечание 8 2" xfId="1622"/>
    <cellStyle name="Примечание 8 2 2" xfId="1623"/>
    <cellStyle name="Примечание 8 3" xfId="1624"/>
    <cellStyle name="Примечание 8 3 2" xfId="1625"/>
    <cellStyle name="Примечание 8 4" xfId="1626"/>
    <cellStyle name="Примечание 8 4 2" xfId="1627"/>
    <cellStyle name="Примечание 8 5" xfId="1628"/>
    <cellStyle name="Примечание 8 5 2" xfId="1629"/>
    <cellStyle name="Примечание 8 6" xfId="1630"/>
    <cellStyle name="Примечание 9" xfId="1631"/>
    <cellStyle name="Примечание 9 2" xfId="1632"/>
    <cellStyle name="Примечание 9 2 2" xfId="1633"/>
    <cellStyle name="Примечание 9 3" xfId="1634"/>
    <cellStyle name="Примечание 9 3 2" xfId="1635"/>
    <cellStyle name="Примечание 9 4" xfId="1636"/>
    <cellStyle name="Примечание 9 4 2" xfId="1637"/>
    <cellStyle name="Примечание 9 5" xfId="1638"/>
    <cellStyle name="Примечание 9 5 2" xfId="1639"/>
    <cellStyle name="Примечание 9 6" xfId="1640"/>
    <cellStyle name="Связанная ячейка 10" xfId="1641"/>
    <cellStyle name="Связанная ячейка 10 2" xfId="1642"/>
    <cellStyle name="Связанная ячейка 11" xfId="1643"/>
    <cellStyle name="Связанная ячейка 11 2" xfId="1644"/>
    <cellStyle name="Связанная ячейка 12" xfId="1645"/>
    <cellStyle name="Связанная ячейка 12 2" xfId="1646"/>
    <cellStyle name="Связанная ячейка 13" xfId="1647"/>
    <cellStyle name="Связанная ячейка 13 2" xfId="1648"/>
    <cellStyle name="Связанная ячейка 14" xfId="1649"/>
    <cellStyle name="Связанная ячейка 14 2" xfId="1650"/>
    <cellStyle name="Связанная ячейка 15" xfId="1651"/>
    <cellStyle name="Связанная ячейка 15 2" xfId="1652"/>
    <cellStyle name="Связанная ячейка 16 2" xfId="1653"/>
    <cellStyle name="Связанная ячейка 17 2" xfId="1654"/>
    <cellStyle name="Связанная ячейка 18 2" xfId="1655"/>
    <cellStyle name="Связанная ячейка 19 2" xfId="1656"/>
    <cellStyle name="Связанная ячейка 2" xfId="1657"/>
    <cellStyle name="Связанная ячейка 2 2" xfId="1658"/>
    <cellStyle name="Связанная ячейка 2 2 2" xfId="1659"/>
    <cellStyle name="Связанная ячейка 3" xfId="1660"/>
    <cellStyle name="Связанная ячейка 3 2" xfId="1661"/>
    <cellStyle name="Связанная ячейка 4" xfId="1662"/>
    <cellStyle name="Связанная ячейка 4 2" xfId="1663"/>
    <cellStyle name="Связанная ячейка 5" xfId="1664"/>
    <cellStyle name="Связанная ячейка 5 2" xfId="1665"/>
    <cellStyle name="Связанная ячейка 6" xfId="1666"/>
    <cellStyle name="Связанная ячейка 6 2" xfId="1667"/>
    <cellStyle name="Связанная ячейка 7" xfId="1668"/>
    <cellStyle name="Связанная ячейка 7 2" xfId="1669"/>
    <cellStyle name="Связанная ячейка 8" xfId="1670"/>
    <cellStyle name="Связанная ячейка 8 2" xfId="1671"/>
    <cellStyle name="Связанная ячейка 9" xfId="1672"/>
    <cellStyle name="Связанная ячейка 9 2" xfId="1673"/>
    <cellStyle name="Текст предупреждения 10" xfId="1674"/>
    <cellStyle name="Текст предупреждения 10 2" xfId="1675"/>
    <cellStyle name="Текст предупреждения 11" xfId="1676"/>
    <cellStyle name="Текст предупреждения 11 2" xfId="1677"/>
    <cellStyle name="Текст предупреждения 12" xfId="1678"/>
    <cellStyle name="Текст предупреждения 12 2" xfId="1679"/>
    <cellStyle name="Текст предупреждения 13" xfId="1680"/>
    <cellStyle name="Текст предупреждения 13 2" xfId="1681"/>
    <cellStyle name="Текст предупреждения 14" xfId="1682"/>
    <cellStyle name="Текст предупреждения 14 2" xfId="1683"/>
    <cellStyle name="Текст предупреждения 15" xfId="1684"/>
    <cellStyle name="Текст предупреждения 15 2" xfId="1685"/>
    <cellStyle name="Текст предупреждения 16 2" xfId="1686"/>
    <cellStyle name="Текст предупреждения 17 2" xfId="1687"/>
    <cellStyle name="Текст предупреждения 18 2" xfId="1688"/>
    <cellStyle name="Текст предупреждения 19 2" xfId="1689"/>
    <cellStyle name="Текст предупреждения 2" xfId="1690"/>
    <cellStyle name="Текст предупреждения 2 2" xfId="1691"/>
    <cellStyle name="Текст предупреждения 2 2 2" xfId="1692"/>
    <cellStyle name="Текст предупреждения 2 2_Общ_свод" xfId="1693"/>
    <cellStyle name="Текст предупреждения 3" xfId="1694"/>
    <cellStyle name="Текст предупреждения 3 2" xfId="1695"/>
    <cellStyle name="Текст предупреждения 4" xfId="1696"/>
    <cellStyle name="Текст предупреждения 4 2" xfId="1697"/>
    <cellStyle name="Текст предупреждения 5" xfId="1698"/>
    <cellStyle name="Текст предупреждения 5 2" xfId="1699"/>
    <cellStyle name="Текст предупреждения 6" xfId="1700"/>
    <cellStyle name="Текст предупреждения 6 2" xfId="1701"/>
    <cellStyle name="Текст предупреждения 7" xfId="1702"/>
    <cellStyle name="Текст предупреждения 7 2" xfId="1703"/>
    <cellStyle name="Текст предупреждения 8" xfId="1704"/>
    <cellStyle name="Текст предупреждения 8 2" xfId="1705"/>
    <cellStyle name="Текст предупреждения 9" xfId="1706"/>
    <cellStyle name="Текст предупреждения 9 2" xfId="1707"/>
    <cellStyle name="Финансовый 2" xfId="1708"/>
    <cellStyle name="Финансовый 2 2" xfId="1709"/>
    <cellStyle name="Финансовый 3" xfId="1710"/>
    <cellStyle name="Финансовый 4" xfId="1711"/>
    <cellStyle name="Хороший 10" xfId="1712"/>
    <cellStyle name="Хороший 10 2" xfId="1713"/>
    <cellStyle name="Хороший 11" xfId="1714"/>
    <cellStyle name="Хороший 11 2" xfId="1715"/>
    <cellStyle name="Хороший 12" xfId="1716"/>
    <cellStyle name="Хороший 12 2" xfId="1717"/>
    <cellStyle name="Хороший 13" xfId="1718"/>
    <cellStyle name="Хороший 13 2" xfId="1719"/>
    <cellStyle name="Хороший 14" xfId="1720"/>
    <cellStyle name="Хороший 14 2" xfId="1721"/>
    <cellStyle name="Хороший 15" xfId="1722"/>
    <cellStyle name="Хороший 15 2" xfId="1723"/>
    <cellStyle name="Хороший 16 2" xfId="1724"/>
    <cellStyle name="Хороший 17 2" xfId="1725"/>
    <cellStyle name="Хороший 18 2" xfId="1726"/>
    <cellStyle name="Хороший 19 2" xfId="1727"/>
    <cellStyle name="Хороший 2" xfId="1728"/>
    <cellStyle name="Хороший 2 2" xfId="1729"/>
    <cellStyle name="Хороший 2 2 2" xfId="1730"/>
    <cellStyle name="Хороший 3" xfId="1731"/>
    <cellStyle name="Хороший 3 2" xfId="1732"/>
    <cellStyle name="Хороший 4" xfId="1733"/>
    <cellStyle name="Хороший 4 2" xfId="1734"/>
    <cellStyle name="Хороший 5" xfId="1735"/>
    <cellStyle name="Хороший 5 2" xfId="1736"/>
    <cellStyle name="Хороший 6" xfId="1737"/>
    <cellStyle name="Хороший 6 2" xfId="1738"/>
    <cellStyle name="Хороший 7" xfId="1739"/>
    <cellStyle name="Хороший 7 2" xfId="1740"/>
    <cellStyle name="Хороший 8" xfId="1741"/>
    <cellStyle name="Хороший 8 2" xfId="1742"/>
    <cellStyle name="Хороший 9" xfId="1743"/>
    <cellStyle name="Хороший 9 2" xfId="174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ror\d\&#1052;&#1086;&#1080;%20&#1089;&#1084;&#1077;&#1090;&#1099;\&#1043;&#1091;&#1079;&#1072;&#1088;%20&#1040;&#1041;&#1047;\&#1057;&#1084;&#1077;&#1090;&#1072;_&#1043;&#1091;&#1079;&#1072;&#1088;%20&#1040;&#1041;&#104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l-2\D\&#1048;&#1096;&#1095;&#1080;%20&#1087;&#1072;&#1087;&#1082;&#1072;\&#1040;&#1101;&#1088;&#1086;&#1087;&#1086;&#1088;&#1090;%20&#1058;&#1077;&#1088;&#1084;&#1077;&#1079;\&#1057;&#1074;&#1086;&#1076;%20&#1089;&#1084;&#1077;&#1090;&#1072;%20&#1103;&#1085;&#1075;&#108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YO'L%20LOYIHA%20BYURO\2016\&#1051;&#1086;&#1081;&#1080;&#1093;&#1072;\0-4\Sentyabr\Mestniy%20ung%20sentyabr\Smeta\Smeta%20Mestniy%20ung-Sentyab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Smeta/&#1050;&#1086;&#1089;&#1086;&#1085;/&#1050;&#1086;&#1089;&#1086;&#1085;%20&#1058;&#1040;&#1049;&#104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З"/>
      <sheetName val="Свод"/>
      <sheetName val="исх"/>
      <sheetName val="Общ_рес"/>
      <sheetName val="Р1"/>
      <sheetName val="Л1"/>
      <sheetName val="Р2"/>
      <sheetName val="Л2"/>
      <sheetName val="Р3"/>
      <sheetName val="Л3"/>
      <sheetName val="Р4"/>
      <sheetName val="Л4"/>
      <sheetName val="Р5"/>
      <sheetName val="Л5"/>
      <sheetName val="Р6"/>
      <sheetName val="Л6"/>
      <sheetName val="Р7"/>
      <sheetName val="Л7"/>
      <sheetName val="Р8"/>
      <sheetName val="Л8"/>
      <sheetName val="Р9"/>
      <sheetName val="Л9"/>
      <sheetName val="Р10"/>
      <sheetName val="Р11"/>
      <sheetName val="Л10"/>
      <sheetName val="Л11"/>
      <sheetName val="Р12"/>
      <sheetName val="Л12"/>
      <sheetName val="Р13"/>
      <sheetName val="Л13"/>
      <sheetName val="Р14"/>
      <sheetName val="Л14"/>
      <sheetName val="Р15"/>
      <sheetName val="Л15"/>
      <sheetName val="Р16"/>
      <sheetName val="Л16"/>
      <sheetName val="Р17"/>
      <sheetName val="Л17"/>
      <sheetName val="Р18"/>
      <sheetName val="Л18"/>
      <sheetName val="Р19"/>
      <sheetName val="Л19"/>
      <sheetName val="Р20"/>
      <sheetName val="Л20"/>
      <sheetName val="Р21"/>
      <sheetName val="Л21"/>
      <sheetName val="2017йил   (2)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 ж"/>
      <sheetName val="Пояс запис"/>
      <sheetName val="Св1"/>
      <sheetName val="Св2"/>
      <sheetName val="Св3"/>
      <sheetName val="ЛРВ"/>
      <sheetName val="СРВ"/>
      <sheetName val="Форма 01"/>
      <sheetName val="Вед объем"/>
      <sheetName val="дефект акт"/>
      <sheetName val="Свод смета янги"/>
      <sheetName val="Л20"/>
      <sheetName val="Р20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"/>
      <sheetName val="Пояс"/>
      <sheetName val="ГИП"/>
      <sheetName val="Свод"/>
      <sheetName val="Объект"/>
      <sheetName val="Локал"/>
      <sheetName val="Ресурс"/>
      <sheetName val="Калк"/>
      <sheetName val="Нарх"/>
    </sheetNames>
    <sheetDataSet>
      <sheetData sheetId="0"/>
      <sheetData sheetId="1"/>
      <sheetData sheetId="2"/>
      <sheetData sheetId="3"/>
      <sheetData sheetId="4"/>
      <sheetData sheetId="5"/>
      <sheetData sheetId="6">
        <row r="17">
          <cell r="G17">
            <v>143592765</v>
          </cell>
        </row>
        <row r="106">
          <cell r="G106">
            <v>3730091904</v>
          </cell>
        </row>
        <row r="222">
          <cell r="G222">
            <v>1575915873</v>
          </cell>
        </row>
      </sheetData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ЖАМЛАМА"/>
      <sheetName val="Опер"/>
      <sheetName val="К2"/>
      <sheetName val="К1"/>
      <sheetName val="Каталог"/>
      <sheetName val="Расчёт"/>
      <sheetName val="Мун"/>
      <sheetName val="Таш"/>
      <sheetName val="Изох"/>
      <sheetName val="Ведом"/>
      <sheetName val="Обл"/>
      <sheetName val="За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3">
          <cell r="F3">
            <v>1.55</v>
          </cell>
        </row>
        <row r="7">
          <cell r="F7" t="str">
            <v>Косон ТАЙБ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1190"/>
  <sheetViews>
    <sheetView view="pageBreakPreview" zoomScale="120" zoomScaleNormal="100" zoomScaleSheetLayoutView="120" workbookViewId="0">
      <selection activeCell="I1178" sqref="I1178"/>
    </sheetView>
  </sheetViews>
  <sheetFormatPr defaultRowHeight="15" x14ac:dyDescent="0.25"/>
  <cols>
    <col min="1" max="1" width="5" customWidth="1"/>
    <col min="3" max="3" width="44.42578125" customWidth="1"/>
    <col min="4" max="4" width="9.140625" style="44"/>
    <col min="5" max="5" width="6.28515625" style="44" customWidth="1"/>
    <col min="6" max="6" width="8" style="44" customWidth="1"/>
    <col min="7" max="7" width="10.85546875" style="31" bestFit="1" customWidth="1"/>
    <col min="8" max="8" width="14.42578125" style="31" bestFit="1" customWidth="1"/>
    <col min="9" max="9" width="14.42578125" bestFit="1" customWidth="1"/>
    <col min="10" max="10" width="12" bestFit="1" customWidth="1"/>
  </cols>
  <sheetData>
    <row r="1" spans="1:13" x14ac:dyDescent="0.25">
      <c r="C1" t="s">
        <v>2260</v>
      </c>
      <c r="D1" s="44" t="s">
        <v>2262</v>
      </c>
      <c r="E1" s="113">
        <f>+E18+E24+E37+E90+E191+E200+E203+E209+E221+E250+E602+E1009+E1024</f>
        <v>642.32621000000006</v>
      </c>
      <c r="F1" s="114"/>
      <c r="H1" s="31">
        <f>+H20+H23+H26+H25+H27+H28+H29+H32+H35+H36+H38+H40+H41+H42+H45+H50+H51+H53+H55+H56+H57+H81+H91+H93+H94+H95+H98+H101+H102+H105+H108+H193+H196+H199+H202+H204+H206+H207+H208+H210+H212+H215+H217+H220+H223+H224+H251+H253+H604+H607+H610+H1011+H1014+H1017+H1018+H1019+H1022+H1023+H1026</f>
        <v>2751644663.2297468</v>
      </c>
      <c r="I1" s="31">
        <f>+H1*1.2216*1.12</f>
        <v>3764778215.0736341</v>
      </c>
      <c r="J1" s="31"/>
      <c r="K1" s="31"/>
      <c r="L1" s="31"/>
      <c r="M1" s="31"/>
    </row>
    <row r="2" spans="1:13" x14ac:dyDescent="0.25">
      <c r="C2" t="s">
        <v>2261</v>
      </c>
      <c r="D2" s="44" t="s">
        <v>2259</v>
      </c>
      <c r="E2" s="113">
        <f>(+E272+E290+E309+E330+E349+E370+E389+E410)*100</f>
        <v>3528.17</v>
      </c>
      <c r="F2" s="114"/>
      <c r="H2" s="31">
        <f>+H273+H275+H276+H277+H278+H279+H280+H281+H282+H285+H286+H287+H288+H289+H291+H293+H294+H295+H296+H297+H298+H299+H300+H303+H304+H305+H306+H307+H310+H312+H313+H314+H315+H317+H318+H321+H322+H323+H324+H325+H326+H327+H328+H329+H331+H333+H334+H335+H336+H337+H338+H339+H340+H343+H344+H345+H346+H347+H350+H352+H353+H354+H355+H356+H357+H358+H361+H362+H363+H364+H365+H366+H367+H368+H369+H371+H373+H374+H375+H376+H377+H378+H379+H380+H383+H384+H385+H386+H387+H390+H392+H393+H394+H395+H396+H397+H398+H401+H402+H403+H404+H405+H406+H407+H408+H409+H411+H413+H414+H415+H416+H417+H418+H419+H420+H423+H424+H425+H426+H427</f>
        <v>3000096666.6411095</v>
      </c>
      <c r="I2" s="31">
        <f>+H2*1.2216*1.12</f>
        <v>4104708258.5250335</v>
      </c>
      <c r="J2" s="31">
        <f>+I2/E2</f>
        <v>1163409.9996669756</v>
      </c>
      <c r="K2" s="31"/>
      <c r="L2" s="31"/>
      <c r="M2" s="31"/>
    </row>
    <row r="3" spans="1:13" x14ac:dyDescent="0.25">
      <c r="C3" t="s">
        <v>2258</v>
      </c>
      <c r="D3" s="44" t="s">
        <v>2254</v>
      </c>
      <c r="E3" s="119">
        <v>150.87100000000001</v>
      </c>
      <c r="F3" s="119"/>
      <c r="H3" s="31">
        <f>+H429+H430+H431+H432+H433+H434+H435+H436</f>
        <v>1519042683.5852001</v>
      </c>
      <c r="I3" s="31">
        <f>+H3*1.2216*1.12</f>
        <v>2078342047.3398023</v>
      </c>
      <c r="J3" s="31">
        <f>+I3/E3</f>
        <v>13775623.196902003</v>
      </c>
      <c r="K3" s="31"/>
      <c r="L3" s="31"/>
      <c r="M3" s="31"/>
    </row>
    <row r="4" spans="1:13" x14ac:dyDescent="0.25">
      <c r="I4" s="31"/>
      <c r="J4" s="31"/>
      <c r="K4" s="31"/>
      <c r="L4" s="31"/>
      <c r="M4" s="31"/>
    </row>
    <row r="5" spans="1:13" x14ac:dyDescent="0.25">
      <c r="I5" s="31"/>
      <c r="J5" s="31"/>
      <c r="K5" s="31"/>
      <c r="L5" s="31"/>
      <c r="M5" s="31"/>
    </row>
    <row r="6" spans="1:13" x14ac:dyDescent="0.25">
      <c r="I6" s="31"/>
      <c r="J6" s="31"/>
      <c r="K6" s="31"/>
      <c r="L6" s="31"/>
      <c r="M6" s="31"/>
    </row>
    <row r="7" spans="1:13" x14ac:dyDescent="0.25">
      <c r="I7" s="31"/>
      <c r="J7" s="31"/>
      <c r="K7" s="31"/>
      <c r="L7" s="31"/>
      <c r="M7" s="31"/>
    </row>
    <row r="8" spans="1:13" x14ac:dyDescent="0.25">
      <c r="I8" s="31"/>
      <c r="J8" s="31"/>
      <c r="K8" s="31"/>
      <c r="L8" s="31"/>
      <c r="M8" s="31"/>
    </row>
    <row r="9" spans="1:13" x14ac:dyDescent="0.25">
      <c r="I9" s="31"/>
      <c r="J9" s="31"/>
      <c r="K9" s="31"/>
      <c r="L9" s="31"/>
      <c r="M9" s="31"/>
    </row>
    <row r="12" spans="1:13" ht="31.5" customHeight="1" x14ac:dyDescent="0.25">
      <c r="A12" s="117" t="s">
        <v>0</v>
      </c>
      <c r="B12" s="117"/>
      <c r="C12" s="117"/>
      <c r="D12" s="117"/>
      <c r="E12" s="117"/>
      <c r="F12" s="117"/>
      <c r="G12" s="68" t="e">
        <f>100-G13</f>
        <v>#REF!</v>
      </c>
      <c r="H12" s="68">
        <f>+I1178</f>
        <v>12783699627</v>
      </c>
      <c r="I12" s="52" t="e">
        <f>+#REF!</f>
        <v>#REF!</v>
      </c>
    </row>
    <row r="13" spans="1:13" x14ac:dyDescent="0.25">
      <c r="A13" s="118"/>
      <c r="B13" s="118"/>
      <c r="C13" s="118"/>
      <c r="D13" s="118"/>
      <c r="E13" s="118"/>
      <c r="F13" s="118"/>
      <c r="G13" s="68" t="e">
        <f>+H13/H12*100</f>
        <v>#REF!</v>
      </c>
      <c r="H13" s="68" t="e">
        <f>+#REF!</f>
        <v>#REF!</v>
      </c>
    </row>
    <row r="14" spans="1:13" x14ac:dyDescent="0.25">
      <c r="A14" s="115" t="s">
        <v>1</v>
      </c>
      <c r="B14" s="115" t="s">
        <v>2</v>
      </c>
      <c r="C14" s="115" t="s">
        <v>3</v>
      </c>
      <c r="D14" s="115" t="s">
        <v>4</v>
      </c>
      <c r="E14" s="115" t="s">
        <v>5</v>
      </c>
      <c r="F14" s="115"/>
      <c r="G14" s="32"/>
      <c r="H14" s="33"/>
    </row>
    <row r="15" spans="1:13" ht="33.75" x14ac:dyDescent="0.25">
      <c r="A15" s="115"/>
      <c r="B15" s="115"/>
      <c r="C15" s="115"/>
      <c r="D15" s="115"/>
      <c r="E15" s="1" t="s">
        <v>6</v>
      </c>
      <c r="F15" s="1" t="s">
        <v>7</v>
      </c>
      <c r="G15" s="33"/>
      <c r="H15" s="33"/>
    </row>
    <row r="16" spans="1:13" x14ac:dyDescent="0.25">
      <c r="A16" s="1">
        <v>1</v>
      </c>
      <c r="B16" s="1">
        <v>2</v>
      </c>
      <c r="C16" s="1">
        <v>3</v>
      </c>
      <c r="D16" s="69">
        <v>4</v>
      </c>
      <c r="E16" s="1">
        <v>5</v>
      </c>
      <c r="F16" s="1">
        <v>6</v>
      </c>
      <c r="G16" s="33"/>
      <c r="H16" s="33"/>
    </row>
    <row r="17" spans="1:8" ht="27.75" customHeight="1" x14ac:dyDescent="0.25">
      <c r="A17" s="1"/>
      <c r="B17" s="129" t="s">
        <v>1756</v>
      </c>
      <c r="C17" s="129"/>
      <c r="D17" s="129"/>
      <c r="E17" s="1"/>
      <c r="F17" s="1"/>
      <c r="G17" s="33"/>
      <c r="H17" s="33"/>
    </row>
    <row r="18" spans="1:8" ht="56.25" x14ac:dyDescent="0.25">
      <c r="A18" s="2" t="s">
        <v>8</v>
      </c>
      <c r="B18" s="2" t="s">
        <v>9</v>
      </c>
      <c r="C18" s="3" t="s">
        <v>10</v>
      </c>
      <c r="D18" s="70" t="s">
        <v>11</v>
      </c>
      <c r="E18" s="116" t="s">
        <v>12</v>
      </c>
      <c r="F18" s="116"/>
      <c r="G18" s="33"/>
      <c r="H18" s="33"/>
    </row>
    <row r="19" spans="1:8" x14ac:dyDescent="0.25">
      <c r="A19" s="4" t="s">
        <v>13</v>
      </c>
      <c r="B19" s="4" t="s">
        <v>14</v>
      </c>
      <c r="C19" s="5" t="s">
        <v>15</v>
      </c>
      <c r="D19" s="34" t="s">
        <v>16</v>
      </c>
      <c r="E19" s="34" t="s">
        <v>17</v>
      </c>
      <c r="F19" s="34">
        <v>16.790399999999998</v>
      </c>
      <c r="G19" s="32"/>
      <c r="H19" s="33">
        <f>G19*F19</f>
        <v>0</v>
      </c>
    </row>
    <row r="20" spans="1:8" ht="33.75" x14ac:dyDescent="0.25">
      <c r="A20" s="4" t="s">
        <v>18</v>
      </c>
      <c r="B20" s="4" t="s">
        <v>19</v>
      </c>
      <c r="C20" s="5" t="s">
        <v>20</v>
      </c>
      <c r="D20" s="34" t="s">
        <v>21</v>
      </c>
      <c r="E20" s="34" t="s">
        <v>17</v>
      </c>
      <c r="F20" s="34" t="s">
        <v>22</v>
      </c>
      <c r="G20" s="50">
        <v>162930</v>
      </c>
      <c r="H20" s="33">
        <f>G20*F20</f>
        <v>2735659.8720000004</v>
      </c>
    </row>
    <row r="21" spans="1:8" ht="33.75" x14ac:dyDescent="0.25">
      <c r="A21" s="2" t="s">
        <v>23</v>
      </c>
      <c r="B21" s="2" t="s">
        <v>24</v>
      </c>
      <c r="C21" s="3" t="s">
        <v>25</v>
      </c>
      <c r="D21" s="70" t="s">
        <v>11</v>
      </c>
      <c r="E21" s="116" t="s">
        <v>12</v>
      </c>
      <c r="F21" s="116"/>
      <c r="G21" s="33"/>
      <c r="H21" s="33"/>
    </row>
    <row r="22" spans="1:8" x14ac:dyDescent="0.25">
      <c r="A22" s="4" t="s">
        <v>26</v>
      </c>
      <c r="B22" s="4" t="s">
        <v>14</v>
      </c>
      <c r="C22" s="5" t="s">
        <v>15</v>
      </c>
      <c r="D22" s="34" t="s">
        <v>16</v>
      </c>
      <c r="E22" s="34" t="s">
        <v>27</v>
      </c>
      <c r="F22" s="34" t="s">
        <v>28</v>
      </c>
      <c r="G22" s="33">
        <f>+G19</f>
        <v>0</v>
      </c>
      <c r="H22" s="33">
        <f t="shared" ref="H22:H23" si="0">G22*F22</f>
        <v>0</v>
      </c>
    </row>
    <row r="23" spans="1:8" ht="33.75" x14ac:dyDescent="0.25">
      <c r="A23" s="4" t="s">
        <v>29</v>
      </c>
      <c r="B23" s="4" t="s">
        <v>19</v>
      </c>
      <c r="C23" s="5" t="s">
        <v>20</v>
      </c>
      <c r="D23" s="34" t="s">
        <v>21</v>
      </c>
      <c r="E23" s="34" t="s">
        <v>27</v>
      </c>
      <c r="F23" s="34" t="s">
        <v>28</v>
      </c>
      <c r="G23" s="33">
        <f>+G20</f>
        <v>162930</v>
      </c>
      <c r="H23" s="33">
        <f t="shared" si="0"/>
        <v>10839407.040000001</v>
      </c>
    </row>
    <row r="24" spans="1:8" ht="56.25" x14ac:dyDescent="0.25">
      <c r="A24" s="2" t="s">
        <v>30</v>
      </c>
      <c r="B24" s="2" t="s">
        <v>31</v>
      </c>
      <c r="C24" s="3" t="s">
        <v>32</v>
      </c>
      <c r="D24" s="70" t="s">
        <v>11</v>
      </c>
      <c r="E24" s="116" t="s">
        <v>12</v>
      </c>
      <c r="F24" s="116"/>
      <c r="G24" s="33"/>
      <c r="H24" s="33"/>
    </row>
    <row r="25" spans="1:8" x14ac:dyDescent="0.25">
      <c r="A25" s="4" t="s">
        <v>33</v>
      </c>
      <c r="B25" s="4" t="s">
        <v>34</v>
      </c>
      <c r="C25" s="5" t="s">
        <v>35</v>
      </c>
      <c r="D25" s="34" t="s">
        <v>16</v>
      </c>
      <c r="E25" s="34" t="s">
        <v>36</v>
      </c>
      <c r="F25" s="34" t="s">
        <v>37</v>
      </c>
      <c r="G25" s="32">
        <v>26500</v>
      </c>
      <c r="H25" s="33">
        <f t="shared" ref="H25:H29" si="1">G25*F25</f>
        <v>375112.80000000005</v>
      </c>
    </row>
    <row r="26" spans="1:8" x14ac:dyDescent="0.25">
      <c r="A26" s="4" t="s">
        <v>38</v>
      </c>
      <c r="B26" s="4" t="s">
        <v>14</v>
      </c>
      <c r="C26" s="5" t="s">
        <v>15</v>
      </c>
      <c r="D26" s="34" t="s">
        <v>16</v>
      </c>
      <c r="E26" s="34" t="s">
        <v>39</v>
      </c>
      <c r="F26" s="34" t="s">
        <v>40</v>
      </c>
      <c r="G26" s="33">
        <f>+G22</f>
        <v>0</v>
      </c>
      <c r="H26" s="33">
        <f t="shared" si="1"/>
        <v>0</v>
      </c>
    </row>
    <row r="27" spans="1:8" ht="33.75" x14ac:dyDescent="0.25">
      <c r="A27" s="4" t="s">
        <v>41</v>
      </c>
      <c r="B27" s="4" t="s">
        <v>42</v>
      </c>
      <c r="C27" s="5" t="s">
        <v>43</v>
      </c>
      <c r="D27" s="34" t="s">
        <v>21</v>
      </c>
      <c r="E27" s="34" t="s">
        <v>44</v>
      </c>
      <c r="F27" s="34" t="s">
        <v>45</v>
      </c>
      <c r="G27" s="35">
        <f>+G20</f>
        <v>162930</v>
      </c>
      <c r="H27" s="33">
        <f t="shared" si="1"/>
        <v>1541448.1440000001</v>
      </c>
    </row>
    <row r="28" spans="1:8" ht="33.75" x14ac:dyDescent="0.25">
      <c r="A28" s="4" t="s">
        <v>46</v>
      </c>
      <c r="B28" s="4" t="s">
        <v>47</v>
      </c>
      <c r="C28" s="5" t="s">
        <v>48</v>
      </c>
      <c r="D28" s="34" t="s">
        <v>21</v>
      </c>
      <c r="E28" s="34" t="s">
        <v>49</v>
      </c>
      <c r="F28" s="34" t="s">
        <v>50</v>
      </c>
      <c r="G28" s="50">
        <v>314602</v>
      </c>
      <c r="H28" s="33">
        <f t="shared" si="1"/>
        <v>9608700.1248000003</v>
      </c>
    </row>
    <row r="29" spans="1:8" x14ac:dyDescent="0.25">
      <c r="A29" s="4" t="s">
        <v>51</v>
      </c>
      <c r="B29" s="4" t="s">
        <v>52</v>
      </c>
      <c r="C29" s="5" t="s">
        <v>53</v>
      </c>
      <c r="D29" s="34" t="s">
        <v>54</v>
      </c>
      <c r="E29" s="34" t="s">
        <v>55</v>
      </c>
      <c r="F29" s="34" t="s">
        <v>56</v>
      </c>
      <c r="G29" s="32">
        <v>50000</v>
      </c>
      <c r="H29" s="33">
        <f t="shared" si="1"/>
        <v>7199.9999999999991</v>
      </c>
    </row>
    <row r="30" spans="1:8" ht="45" x14ac:dyDescent="0.25">
      <c r="A30" s="2" t="s">
        <v>57</v>
      </c>
      <c r="B30" s="2" t="s">
        <v>58</v>
      </c>
      <c r="C30" s="3" t="s">
        <v>59</v>
      </c>
      <c r="D30" s="70" t="s">
        <v>60</v>
      </c>
      <c r="E30" s="116" t="s">
        <v>61</v>
      </c>
      <c r="F30" s="116"/>
      <c r="G30" s="33"/>
      <c r="H30" s="33"/>
    </row>
    <row r="31" spans="1:8" ht="22.5" x14ac:dyDescent="0.25">
      <c r="A31" s="4" t="s">
        <v>62</v>
      </c>
      <c r="B31" s="4" t="s">
        <v>14</v>
      </c>
      <c r="C31" s="5" t="s">
        <v>15</v>
      </c>
      <c r="D31" s="34" t="s">
        <v>16</v>
      </c>
      <c r="E31" s="34" t="s">
        <v>63</v>
      </c>
      <c r="F31" s="34" t="s">
        <v>64</v>
      </c>
      <c r="G31" s="33">
        <f>+G26</f>
        <v>0</v>
      </c>
      <c r="H31" s="33">
        <f t="shared" ref="H31:H32" si="2">G31*F31</f>
        <v>0</v>
      </c>
    </row>
    <row r="32" spans="1:8" ht="22.5" x14ac:dyDescent="0.25">
      <c r="A32" s="4" t="s">
        <v>65</v>
      </c>
      <c r="B32" s="4" t="s">
        <v>66</v>
      </c>
      <c r="C32" s="5" t="s">
        <v>67</v>
      </c>
      <c r="D32" s="34" t="s">
        <v>21</v>
      </c>
      <c r="E32" s="34" t="s">
        <v>63</v>
      </c>
      <c r="F32" s="34" t="s">
        <v>64</v>
      </c>
      <c r="G32" s="32">
        <v>105005</v>
      </c>
      <c r="H32" s="33">
        <f t="shared" si="2"/>
        <v>3215201.8575599999</v>
      </c>
    </row>
    <row r="33" spans="1:8" ht="33.75" x14ac:dyDescent="0.25">
      <c r="A33" s="2" t="s">
        <v>68</v>
      </c>
      <c r="B33" s="2" t="s">
        <v>69</v>
      </c>
      <c r="C33" s="3" t="s">
        <v>70</v>
      </c>
      <c r="D33" s="70" t="s">
        <v>11</v>
      </c>
      <c r="E33" s="116" t="s">
        <v>12</v>
      </c>
      <c r="F33" s="116"/>
      <c r="G33" s="33"/>
      <c r="H33" s="33"/>
    </row>
    <row r="34" spans="1:8" x14ac:dyDescent="0.25">
      <c r="A34" s="4" t="s">
        <v>71</v>
      </c>
      <c r="B34" s="4" t="s">
        <v>14</v>
      </c>
      <c r="C34" s="5" t="s">
        <v>15</v>
      </c>
      <c r="D34" s="34" t="s">
        <v>16</v>
      </c>
      <c r="E34" s="34" t="s">
        <v>72</v>
      </c>
      <c r="F34" s="34" t="s">
        <v>73</v>
      </c>
      <c r="G34" s="33">
        <f>+G31</f>
        <v>0</v>
      </c>
      <c r="H34" s="33">
        <f t="shared" ref="H34:H36" si="3">G34*F34</f>
        <v>0</v>
      </c>
    </row>
    <row r="35" spans="1:8" x14ac:dyDescent="0.25">
      <c r="A35" s="4" t="s">
        <v>74</v>
      </c>
      <c r="B35" s="4" t="s">
        <v>75</v>
      </c>
      <c r="C35" s="5" t="s">
        <v>76</v>
      </c>
      <c r="D35" s="34" t="s">
        <v>21</v>
      </c>
      <c r="E35" s="34" t="s">
        <v>72</v>
      </c>
      <c r="F35" s="34" t="s">
        <v>73</v>
      </c>
      <c r="G35" s="32">
        <v>148642</v>
      </c>
      <c r="H35" s="33">
        <f t="shared" si="3"/>
        <v>423808.07039999997</v>
      </c>
    </row>
    <row r="36" spans="1:8" x14ac:dyDescent="0.25">
      <c r="A36" s="4" t="s">
        <v>77</v>
      </c>
      <c r="B36" s="4" t="s">
        <v>52</v>
      </c>
      <c r="C36" s="5" t="s">
        <v>53</v>
      </c>
      <c r="D36" s="34" t="s">
        <v>54</v>
      </c>
      <c r="E36" s="34" t="s">
        <v>78</v>
      </c>
      <c r="F36" s="34" t="s">
        <v>79</v>
      </c>
      <c r="G36" s="33">
        <f>+G29</f>
        <v>50000</v>
      </c>
      <c r="H36" s="33">
        <f t="shared" si="3"/>
        <v>14399.999999999998</v>
      </c>
    </row>
    <row r="37" spans="1:8" ht="56.25" x14ac:dyDescent="0.25">
      <c r="A37" s="2" t="s">
        <v>80</v>
      </c>
      <c r="B37" s="2" t="s">
        <v>81</v>
      </c>
      <c r="C37" s="3" t="s">
        <v>82</v>
      </c>
      <c r="D37" s="70" t="s">
        <v>11</v>
      </c>
      <c r="E37" s="116" t="s">
        <v>83</v>
      </c>
      <c r="F37" s="116"/>
      <c r="G37" s="33"/>
      <c r="H37" s="33"/>
    </row>
    <row r="38" spans="1:8" x14ac:dyDescent="0.25">
      <c r="A38" s="4" t="s">
        <v>84</v>
      </c>
      <c r="B38" s="4" t="s">
        <v>34</v>
      </c>
      <c r="C38" s="5" t="s">
        <v>35</v>
      </c>
      <c r="D38" s="34" t="s">
        <v>16</v>
      </c>
      <c r="E38" s="34" t="s">
        <v>85</v>
      </c>
      <c r="F38" s="34" t="s">
        <v>86</v>
      </c>
      <c r="G38" s="33">
        <f>+G25</f>
        <v>26500</v>
      </c>
      <c r="H38" s="33">
        <f t="shared" ref="H38:H42" si="4">G38*F38</f>
        <v>1791389.93</v>
      </c>
    </row>
    <row r="39" spans="1:8" ht="22.5" x14ac:dyDescent="0.25">
      <c r="A39" s="4" t="s">
        <v>87</v>
      </c>
      <c r="B39" s="4" t="s">
        <v>14</v>
      </c>
      <c r="C39" s="5" t="s">
        <v>15</v>
      </c>
      <c r="D39" s="34" t="s">
        <v>16</v>
      </c>
      <c r="E39" s="34" t="s">
        <v>88</v>
      </c>
      <c r="F39" s="34" t="s">
        <v>89</v>
      </c>
      <c r="G39" s="33">
        <f>+G34</f>
        <v>0</v>
      </c>
      <c r="H39" s="33">
        <f t="shared" si="4"/>
        <v>0</v>
      </c>
    </row>
    <row r="40" spans="1:8" ht="33.75" x14ac:dyDescent="0.25">
      <c r="A40" s="4" t="s">
        <v>90</v>
      </c>
      <c r="B40" s="4" t="s">
        <v>42</v>
      </c>
      <c r="C40" s="5" t="s">
        <v>43</v>
      </c>
      <c r="D40" s="34" t="s">
        <v>21</v>
      </c>
      <c r="E40" s="34" t="s">
        <v>91</v>
      </c>
      <c r="F40" s="34" t="s">
        <v>92</v>
      </c>
      <c r="G40" s="33">
        <f>+G27</f>
        <v>162930</v>
      </c>
      <c r="H40" s="33">
        <f t="shared" si="4"/>
        <v>7367166.7067999998</v>
      </c>
    </row>
    <row r="41" spans="1:8" ht="33.75" x14ac:dyDescent="0.25">
      <c r="A41" s="4" t="s">
        <v>93</v>
      </c>
      <c r="B41" s="4" t="s">
        <v>47</v>
      </c>
      <c r="C41" s="5" t="s">
        <v>48</v>
      </c>
      <c r="D41" s="34" t="s">
        <v>21</v>
      </c>
      <c r="E41" s="34" t="s">
        <v>94</v>
      </c>
      <c r="F41" s="34" t="s">
        <v>95</v>
      </c>
      <c r="G41" s="33">
        <f>+G28</f>
        <v>314602</v>
      </c>
      <c r="H41" s="33">
        <f t="shared" si="4"/>
        <v>45886293.586120002</v>
      </c>
    </row>
    <row r="42" spans="1:8" x14ac:dyDescent="0.25">
      <c r="A42" s="4" t="s">
        <v>96</v>
      </c>
      <c r="B42" s="4" t="s">
        <v>52</v>
      </c>
      <c r="C42" s="5" t="s">
        <v>53</v>
      </c>
      <c r="D42" s="34" t="s">
        <v>54</v>
      </c>
      <c r="E42" s="34" t="s">
        <v>97</v>
      </c>
      <c r="F42" s="34" t="s">
        <v>98</v>
      </c>
      <c r="G42" s="33">
        <f>+G36</f>
        <v>50000</v>
      </c>
      <c r="H42" s="33">
        <f t="shared" si="4"/>
        <v>33828</v>
      </c>
    </row>
    <row r="43" spans="1:8" ht="45" x14ac:dyDescent="0.25">
      <c r="A43" s="2" t="s">
        <v>99</v>
      </c>
      <c r="B43" s="2" t="s">
        <v>58</v>
      </c>
      <c r="C43" s="3" t="s">
        <v>59</v>
      </c>
      <c r="D43" s="70" t="s">
        <v>60</v>
      </c>
      <c r="E43" s="116" t="s">
        <v>100</v>
      </c>
      <c r="F43" s="116"/>
      <c r="G43" s="33"/>
      <c r="H43" s="33"/>
    </row>
    <row r="44" spans="1:8" ht="22.5" x14ac:dyDescent="0.25">
      <c r="A44" s="4" t="s">
        <v>101</v>
      </c>
      <c r="B44" s="4" t="s">
        <v>14</v>
      </c>
      <c r="C44" s="5" t="s">
        <v>15</v>
      </c>
      <c r="D44" s="34" t="s">
        <v>16</v>
      </c>
      <c r="E44" s="34" t="s">
        <v>63</v>
      </c>
      <c r="F44" s="34" t="s">
        <v>102</v>
      </c>
      <c r="G44" s="33">
        <f>+G39</f>
        <v>0</v>
      </c>
      <c r="H44" s="33">
        <f t="shared" ref="H44:H45" si="5">G44*F44</f>
        <v>0</v>
      </c>
    </row>
    <row r="45" spans="1:8" ht="22.5" x14ac:dyDescent="0.25">
      <c r="A45" s="4" t="s">
        <v>103</v>
      </c>
      <c r="B45" s="4" t="s">
        <v>66</v>
      </c>
      <c r="C45" s="5" t="s">
        <v>67</v>
      </c>
      <c r="D45" s="34" t="s">
        <v>21</v>
      </c>
      <c r="E45" s="34" t="s">
        <v>63</v>
      </c>
      <c r="F45" s="34" t="s">
        <v>102</v>
      </c>
      <c r="G45" s="33">
        <f>+G32</f>
        <v>105005</v>
      </c>
      <c r="H45" s="33">
        <f t="shared" si="5"/>
        <v>13350665.625709999</v>
      </c>
    </row>
    <row r="46" spans="1:8" ht="67.5" x14ac:dyDescent="0.25">
      <c r="A46" s="2" t="s">
        <v>104</v>
      </c>
      <c r="B46" s="2" t="s">
        <v>105</v>
      </c>
      <c r="C46" s="3" t="s">
        <v>106</v>
      </c>
      <c r="D46" s="70" t="s">
        <v>107</v>
      </c>
      <c r="E46" s="116" t="s">
        <v>108</v>
      </c>
      <c r="F46" s="116"/>
      <c r="G46" s="33"/>
      <c r="H46" s="33"/>
    </row>
    <row r="47" spans="1:8" x14ac:dyDescent="0.25">
      <c r="A47" s="4" t="s">
        <v>109</v>
      </c>
      <c r="B47" s="4" t="s">
        <v>34</v>
      </c>
      <c r="C47" s="5" t="s">
        <v>35</v>
      </c>
      <c r="D47" s="34" t="s">
        <v>16</v>
      </c>
      <c r="E47" s="34" t="s">
        <v>110</v>
      </c>
      <c r="F47" s="34" t="s">
        <v>111</v>
      </c>
      <c r="G47" s="33">
        <f>+G38</f>
        <v>26500</v>
      </c>
      <c r="H47" s="33">
        <f>G47*F47</f>
        <v>423118.08000000002</v>
      </c>
    </row>
    <row r="48" spans="1:8" ht="33.75" x14ac:dyDescent="0.25">
      <c r="A48" s="2" t="s">
        <v>112</v>
      </c>
      <c r="B48" s="2" t="s">
        <v>113</v>
      </c>
      <c r="C48" s="3" t="s">
        <v>114</v>
      </c>
      <c r="D48" s="70" t="s">
        <v>11</v>
      </c>
      <c r="E48" s="116" t="s">
        <v>83</v>
      </c>
      <c r="F48" s="116"/>
      <c r="G48" s="33"/>
      <c r="H48" s="33"/>
    </row>
    <row r="49" spans="1:8" x14ac:dyDescent="0.25">
      <c r="A49" s="4" t="s">
        <v>115</v>
      </c>
      <c r="B49" s="4" t="s">
        <v>14</v>
      </c>
      <c r="C49" s="5" t="s">
        <v>15</v>
      </c>
      <c r="D49" s="34" t="s">
        <v>16</v>
      </c>
      <c r="E49" s="34" t="s">
        <v>116</v>
      </c>
      <c r="F49" s="34" t="s">
        <v>117</v>
      </c>
      <c r="G49" s="33">
        <f>+G44</f>
        <v>0</v>
      </c>
      <c r="H49" s="33">
        <f t="shared" ref="H49:H51" si="6">G49*F49</f>
        <v>0</v>
      </c>
    </row>
    <row r="50" spans="1:8" x14ac:dyDescent="0.25">
      <c r="A50" s="4" t="s">
        <v>118</v>
      </c>
      <c r="B50" s="4" t="s">
        <v>75</v>
      </c>
      <c r="C50" s="5" t="s">
        <v>76</v>
      </c>
      <c r="D50" s="34" t="s">
        <v>21</v>
      </c>
      <c r="E50" s="34" t="s">
        <v>116</v>
      </c>
      <c r="F50" s="34" t="s">
        <v>117</v>
      </c>
      <c r="G50" s="33">
        <f>+G35</f>
        <v>148642</v>
      </c>
      <c r="H50" s="33">
        <f t="shared" si="6"/>
        <v>1793413.29544</v>
      </c>
    </row>
    <row r="51" spans="1:8" x14ac:dyDescent="0.25">
      <c r="A51" s="4" t="s">
        <v>119</v>
      </c>
      <c r="B51" s="4" t="s">
        <v>52</v>
      </c>
      <c r="C51" s="5" t="s">
        <v>53</v>
      </c>
      <c r="D51" s="34" t="s">
        <v>54</v>
      </c>
      <c r="E51" s="34" t="s">
        <v>120</v>
      </c>
      <c r="F51" s="34" t="s">
        <v>121</v>
      </c>
      <c r="G51" s="33">
        <f>+G42</f>
        <v>50000</v>
      </c>
      <c r="H51" s="33">
        <f t="shared" si="6"/>
        <v>67656</v>
      </c>
    </row>
    <row r="52" spans="1:8" ht="45" x14ac:dyDescent="0.25">
      <c r="A52" s="2" t="s">
        <v>122</v>
      </c>
      <c r="B52" s="2" t="s">
        <v>123</v>
      </c>
      <c r="C52" s="3" t="s">
        <v>124</v>
      </c>
      <c r="D52" s="70" t="s">
        <v>11</v>
      </c>
      <c r="E52" s="116" t="s">
        <v>83</v>
      </c>
      <c r="F52" s="116"/>
      <c r="G52" s="33"/>
      <c r="H52" s="33"/>
    </row>
    <row r="53" spans="1:8" x14ac:dyDescent="0.25">
      <c r="A53" s="4" t="s">
        <v>125</v>
      </c>
      <c r="B53" s="4" t="s">
        <v>34</v>
      </c>
      <c r="C53" s="5" t="s">
        <v>35</v>
      </c>
      <c r="D53" s="34" t="s">
        <v>16</v>
      </c>
      <c r="E53" s="34" t="s">
        <v>126</v>
      </c>
      <c r="F53" s="34" t="s">
        <v>127</v>
      </c>
      <c r="G53" s="33">
        <f>+G47</f>
        <v>26500</v>
      </c>
      <c r="H53" s="33">
        <f t="shared" ref="H53:H57" si="7">G53*F53</f>
        <v>545335.55000000005</v>
      </c>
    </row>
    <row r="54" spans="1:8" ht="22.5" x14ac:dyDescent="0.25">
      <c r="A54" s="4" t="s">
        <v>128</v>
      </c>
      <c r="B54" s="4" t="s">
        <v>14</v>
      </c>
      <c r="C54" s="5" t="s">
        <v>15</v>
      </c>
      <c r="D54" s="34" t="s">
        <v>16</v>
      </c>
      <c r="E54" s="34" t="s">
        <v>129</v>
      </c>
      <c r="F54" s="34" t="s">
        <v>130</v>
      </c>
      <c r="G54" s="33">
        <f>+G49</f>
        <v>0</v>
      </c>
      <c r="H54" s="33">
        <f t="shared" si="7"/>
        <v>0</v>
      </c>
    </row>
    <row r="55" spans="1:8" ht="22.5" x14ac:dyDescent="0.25">
      <c r="A55" s="4" t="s">
        <v>131</v>
      </c>
      <c r="B55" s="4" t="s">
        <v>132</v>
      </c>
      <c r="C55" s="5" t="s">
        <v>133</v>
      </c>
      <c r="D55" s="34" t="s">
        <v>21</v>
      </c>
      <c r="E55" s="34" t="s">
        <v>134</v>
      </c>
      <c r="F55" s="34" t="s">
        <v>135</v>
      </c>
      <c r="G55" s="35">
        <f>+G32</f>
        <v>105005</v>
      </c>
      <c r="H55" s="33">
        <f t="shared" si="7"/>
        <v>50203.142511999999</v>
      </c>
    </row>
    <row r="56" spans="1:8" ht="33.75" x14ac:dyDescent="0.25">
      <c r="A56" s="4" t="s">
        <v>136</v>
      </c>
      <c r="B56" s="4" t="s">
        <v>42</v>
      </c>
      <c r="C56" s="5" t="s">
        <v>43</v>
      </c>
      <c r="D56" s="34" t="s">
        <v>21</v>
      </c>
      <c r="E56" s="34" t="s">
        <v>137</v>
      </c>
      <c r="F56" s="34" t="s">
        <v>138</v>
      </c>
      <c r="G56" s="33">
        <f>+G40</f>
        <v>162930</v>
      </c>
      <c r="H56" s="33">
        <f t="shared" si="7"/>
        <v>3865649.7425879999</v>
      </c>
    </row>
    <row r="57" spans="1:8" x14ac:dyDescent="0.25">
      <c r="A57" s="4" t="s">
        <v>139</v>
      </c>
      <c r="B57" s="4" t="s">
        <v>52</v>
      </c>
      <c r="C57" s="5" t="s">
        <v>53</v>
      </c>
      <c r="D57" s="34" t="s">
        <v>54</v>
      </c>
      <c r="E57" s="34" t="s">
        <v>140</v>
      </c>
      <c r="F57" s="34" t="s">
        <v>141</v>
      </c>
      <c r="G57" s="33">
        <f>+G51</f>
        <v>50000</v>
      </c>
      <c r="H57" s="33">
        <f t="shared" si="7"/>
        <v>11276</v>
      </c>
    </row>
    <row r="58" spans="1:8" x14ac:dyDescent="0.25">
      <c r="A58" s="2" t="s">
        <v>142</v>
      </c>
      <c r="B58" s="2" t="s">
        <v>143</v>
      </c>
      <c r="C58" s="3" t="s">
        <v>144</v>
      </c>
      <c r="D58" s="70" t="s">
        <v>145</v>
      </c>
      <c r="E58" s="116" t="s">
        <v>146</v>
      </c>
      <c r="F58" s="116"/>
      <c r="G58" s="33"/>
      <c r="H58" s="33"/>
    </row>
    <row r="59" spans="1:8" x14ac:dyDescent="0.25">
      <c r="A59" s="4" t="s">
        <v>147</v>
      </c>
      <c r="B59" s="4" t="s">
        <v>34</v>
      </c>
      <c r="C59" s="5" t="s">
        <v>35</v>
      </c>
      <c r="D59" s="34" t="s">
        <v>16</v>
      </c>
      <c r="E59" s="34" t="s">
        <v>148</v>
      </c>
      <c r="F59" s="34" t="s">
        <v>149</v>
      </c>
      <c r="G59" s="33">
        <f>+G53</f>
        <v>26500</v>
      </c>
      <c r="H59" s="33">
        <f t="shared" ref="H59:H62" si="8">G59*F59</f>
        <v>6054720</v>
      </c>
    </row>
    <row r="60" spans="1:8" x14ac:dyDescent="0.25">
      <c r="A60" s="4" t="s">
        <v>150</v>
      </c>
      <c r="B60" s="4" t="s">
        <v>14</v>
      </c>
      <c r="C60" s="5" t="s">
        <v>15</v>
      </c>
      <c r="D60" s="34" t="s">
        <v>16</v>
      </c>
      <c r="E60" s="34" t="s">
        <v>151</v>
      </c>
      <c r="F60" s="34" t="s">
        <v>152</v>
      </c>
      <c r="G60" s="33">
        <f>+G54</f>
        <v>0</v>
      </c>
      <c r="H60" s="33">
        <f t="shared" si="8"/>
        <v>0</v>
      </c>
    </row>
    <row r="61" spans="1:8" x14ac:dyDescent="0.25">
      <c r="A61" s="4" t="s">
        <v>153</v>
      </c>
      <c r="B61" s="4" t="s">
        <v>154</v>
      </c>
      <c r="C61" s="5" t="s">
        <v>155</v>
      </c>
      <c r="D61" s="34" t="s">
        <v>21</v>
      </c>
      <c r="E61" s="34" t="s">
        <v>151</v>
      </c>
      <c r="F61" s="34" t="s">
        <v>152</v>
      </c>
      <c r="G61" s="32">
        <v>237455</v>
      </c>
      <c r="H61" s="33">
        <f t="shared" si="8"/>
        <v>2712685.92</v>
      </c>
    </row>
    <row r="62" spans="1:8" x14ac:dyDescent="0.25">
      <c r="A62" s="4" t="s">
        <v>156</v>
      </c>
      <c r="B62" s="4" t="s">
        <v>157</v>
      </c>
      <c r="C62" s="5" t="s">
        <v>158</v>
      </c>
      <c r="D62" s="34" t="s">
        <v>54</v>
      </c>
      <c r="E62" s="34" t="s">
        <v>159</v>
      </c>
      <c r="F62" s="34" t="s">
        <v>160</v>
      </c>
      <c r="G62" s="32">
        <v>22300</v>
      </c>
      <c r="H62" s="33">
        <f t="shared" si="8"/>
        <v>6244000</v>
      </c>
    </row>
    <row r="63" spans="1:8" ht="33.75" x14ac:dyDescent="0.25">
      <c r="A63" s="2" t="s">
        <v>161</v>
      </c>
      <c r="B63" s="2" t="s">
        <v>162</v>
      </c>
      <c r="C63" s="3" t="s">
        <v>163</v>
      </c>
      <c r="D63" s="70" t="s">
        <v>164</v>
      </c>
      <c r="E63" s="116" t="s">
        <v>165</v>
      </c>
      <c r="F63" s="116"/>
      <c r="G63" s="33"/>
      <c r="H63" s="33"/>
    </row>
    <row r="64" spans="1:8" ht="22.5" x14ac:dyDescent="0.25">
      <c r="A64" s="4" t="s">
        <v>166</v>
      </c>
      <c r="B64" s="4" t="s">
        <v>34</v>
      </c>
      <c r="C64" s="5" t="s">
        <v>35</v>
      </c>
      <c r="D64" s="34" t="s">
        <v>16</v>
      </c>
      <c r="E64" s="34" t="s">
        <v>167</v>
      </c>
      <c r="F64" s="34" t="s">
        <v>168</v>
      </c>
      <c r="G64" s="33">
        <f>+G59</f>
        <v>26500</v>
      </c>
      <c r="H64" s="33">
        <f t="shared" ref="H64:H65" si="9">G64*F64</f>
        <v>981357.3280000001</v>
      </c>
    </row>
    <row r="65" spans="1:8" ht="22.5" x14ac:dyDescent="0.25">
      <c r="A65" s="4" t="s">
        <v>169</v>
      </c>
      <c r="B65" s="4" t="s">
        <v>170</v>
      </c>
      <c r="C65" s="5" t="s">
        <v>171</v>
      </c>
      <c r="D65" s="34" t="s">
        <v>21</v>
      </c>
      <c r="E65" s="34" t="s">
        <v>167</v>
      </c>
      <c r="F65" s="34" t="s">
        <v>168</v>
      </c>
      <c r="G65" s="32">
        <v>5500</v>
      </c>
      <c r="H65" s="33">
        <f t="shared" si="9"/>
        <v>203677.93600000002</v>
      </c>
    </row>
    <row r="66" spans="1:8" ht="33.75" x14ac:dyDescent="0.25">
      <c r="A66" s="2" t="s">
        <v>172</v>
      </c>
      <c r="B66" s="2" t="s">
        <v>173</v>
      </c>
      <c r="C66" s="3" t="s">
        <v>174</v>
      </c>
      <c r="D66" s="70" t="s">
        <v>175</v>
      </c>
      <c r="E66" s="116" t="s">
        <v>176</v>
      </c>
      <c r="F66" s="116"/>
      <c r="G66" s="33"/>
      <c r="H66" s="33"/>
    </row>
    <row r="67" spans="1:8" x14ac:dyDescent="0.25">
      <c r="A67" s="4" t="s">
        <v>177</v>
      </c>
      <c r="B67" s="4" t="s">
        <v>34</v>
      </c>
      <c r="C67" s="5" t="s">
        <v>35</v>
      </c>
      <c r="D67" s="34" t="s">
        <v>16</v>
      </c>
      <c r="E67" s="34" t="s">
        <v>178</v>
      </c>
      <c r="F67" s="34" t="s">
        <v>179</v>
      </c>
      <c r="G67" s="33">
        <f>+G64</f>
        <v>26500</v>
      </c>
      <c r="H67" s="33">
        <f t="shared" ref="H67:H71" si="10">G67*F67</f>
        <v>1149888</v>
      </c>
    </row>
    <row r="68" spans="1:8" x14ac:dyDescent="0.25">
      <c r="A68" s="4" t="s">
        <v>180</v>
      </c>
      <c r="B68" s="4" t="s">
        <v>14</v>
      </c>
      <c r="C68" s="5" t="s">
        <v>15</v>
      </c>
      <c r="D68" s="34" t="s">
        <v>16</v>
      </c>
      <c r="E68" s="34" t="s">
        <v>181</v>
      </c>
      <c r="F68" s="34" t="s">
        <v>182</v>
      </c>
      <c r="G68" s="33">
        <f>+G60</f>
        <v>0</v>
      </c>
      <c r="H68" s="33">
        <f t="shared" si="10"/>
        <v>0</v>
      </c>
    </row>
    <row r="69" spans="1:8" ht="33.75" x14ac:dyDescent="0.25">
      <c r="A69" s="4" t="s">
        <v>183</v>
      </c>
      <c r="B69" s="4" t="s">
        <v>184</v>
      </c>
      <c r="C69" s="5" t="s">
        <v>185</v>
      </c>
      <c r="D69" s="34" t="s">
        <v>21</v>
      </c>
      <c r="E69" s="34" t="s">
        <v>186</v>
      </c>
      <c r="F69" s="34" t="s">
        <v>187</v>
      </c>
      <c r="G69" s="32">
        <v>113021</v>
      </c>
      <c r="H69" s="33">
        <f t="shared" si="10"/>
        <v>732376.08000000007</v>
      </c>
    </row>
    <row r="70" spans="1:8" ht="22.5" x14ac:dyDescent="0.25">
      <c r="A70" s="4" t="s">
        <v>188</v>
      </c>
      <c r="B70" s="4" t="s">
        <v>189</v>
      </c>
      <c r="C70" s="5" t="s">
        <v>190</v>
      </c>
      <c r="D70" s="34" t="s">
        <v>21</v>
      </c>
      <c r="E70" s="34" t="s">
        <v>191</v>
      </c>
      <c r="F70" s="34" t="s">
        <v>120</v>
      </c>
      <c r="G70" s="32">
        <v>35000</v>
      </c>
      <c r="H70" s="33">
        <f t="shared" si="10"/>
        <v>8400</v>
      </c>
    </row>
    <row r="71" spans="1:8" x14ac:dyDescent="0.25">
      <c r="A71" s="4" t="s">
        <v>192</v>
      </c>
      <c r="B71" s="4" t="s">
        <v>193</v>
      </c>
      <c r="C71" s="5" t="s">
        <v>194</v>
      </c>
      <c r="D71" s="34" t="s">
        <v>54</v>
      </c>
      <c r="E71" s="34" t="s">
        <v>195</v>
      </c>
      <c r="F71" s="34" t="s">
        <v>196</v>
      </c>
      <c r="G71" s="32">
        <v>0</v>
      </c>
      <c r="H71" s="33">
        <f t="shared" si="10"/>
        <v>0</v>
      </c>
    </row>
    <row r="72" spans="1:8" ht="22.5" x14ac:dyDescent="0.25">
      <c r="A72" s="2" t="s">
        <v>197</v>
      </c>
      <c r="B72" s="2" t="s">
        <v>198</v>
      </c>
      <c r="C72" s="3" t="s">
        <v>199</v>
      </c>
      <c r="D72" s="70" t="s">
        <v>200</v>
      </c>
      <c r="E72" s="116" t="s">
        <v>201</v>
      </c>
      <c r="F72" s="116"/>
      <c r="G72" s="50">
        <f>104220/1.12</f>
        <v>93053.57142857142</v>
      </c>
      <c r="H72" s="33">
        <f>+G72*E72</f>
        <v>15037457.142857142</v>
      </c>
    </row>
    <row r="73" spans="1:8" ht="33.75" x14ac:dyDescent="0.25">
      <c r="A73" s="2" t="s">
        <v>202</v>
      </c>
      <c r="B73" s="2" t="s">
        <v>203</v>
      </c>
      <c r="C73" s="3" t="s">
        <v>204</v>
      </c>
      <c r="D73" s="70" t="s">
        <v>175</v>
      </c>
      <c r="E73" s="116" t="s">
        <v>205</v>
      </c>
      <c r="F73" s="116"/>
      <c r="G73" s="33"/>
      <c r="H73" s="33"/>
    </row>
    <row r="74" spans="1:8" x14ac:dyDescent="0.25">
      <c r="A74" s="4" t="s">
        <v>206</v>
      </c>
      <c r="B74" s="4" t="s">
        <v>34</v>
      </c>
      <c r="C74" s="5" t="s">
        <v>35</v>
      </c>
      <c r="D74" s="34" t="s">
        <v>16</v>
      </c>
      <c r="E74" s="34" t="s">
        <v>207</v>
      </c>
      <c r="F74" s="34" t="s">
        <v>208</v>
      </c>
      <c r="G74" s="33">
        <f>+G67</f>
        <v>26500</v>
      </c>
      <c r="H74" s="33">
        <f t="shared" ref="H74:H78" si="11">G74*F74</f>
        <v>314608</v>
      </c>
    </row>
    <row r="75" spans="1:8" x14ac:dyDescent="0.25">
      <c r="A75" s="4" t="s">
        <v>209</v>
      </c>
      <c r="B75" s="4" t="s">
        <v>14</v>
      </c>
      <c r="C75" s="5" t="s">
        <v>15</v>
      </c>
      <c r="D75" s="34" t="s">
        <v>16</v>
      </c>
      <c r="E75" s="34" t="s">
        <v>210</v>
      </c>
      <c r="F75" s="34" t="s">
        <v>211</v>
      </c>
      <c r="G75" s="33">
        <f>+G68</f>
        <v>0</v>
      </c>
      <c r="H75" s="33">
        <f t="shared" si="11"/>
        <v>0</v>
      </c>
    </row>
    <row r="76" spans="1:8" ht="33.75" x14ac:dyDescent="0.25">
      <c r="A76" s="4" t="s">
        <v>212</v>
      </c>
      <c r="B76" s="4" t="s">
        <v>184</v>
      </c>
      <c r="C76" s="5" t="s">
        <v>185</v>
      </c>
      <c r="D76" s="34" t="s">
        <v>21</v>
      </c>
      <c r="E76" s="34" t="s">
        <v>213</v>
      </c>
      <c r="F76" s="34" t="s">
        <v>214</v>
      </c>
      <c r="G76" s="33">
        <f>+G69</f>
        <v>113021</v>
      </c>
      <c r="H76" s="33">
        <f t="shared" si="11"/>
        <v>199369.04399999999</v>
      </c>
    </row>
    <row r="77" spans="1:8" ht="22.5" x14ac:dyDescent="0.25">
      <c r="A77" s="4" t="s">
        <v>215</v>
      </c>
      <c r="B77" s="4" t="s">
        <v>189</v>
      </c>
      <c r="C77" s="5" t="s">
        <v>190</v>
      </c>
      <c r="D77" s="34" t="s">
        <v>21</v>
      </c>
      <c r="E77" s="34" t="s">
        <v>216</v>
      </c>
      <c r="F77" s="34" t="s">
        <v>217</v>
      </c>
      <c r="G77" s="33">
        <f>+G70</f>
        <v>35000</v>
      </c>
      <c r="H77" s="33">
        <f t="shared" si="11"/>
        <v>2940</v>
      </c>
    </row>
    <row r="78" spans="1:8" x14ac:dyDescent="0.25">
      <c r="A78" s="4" t="s">
        <v>218</v>
      </c>
      <c r="B78" s="4" t="s">
        <v>193</v>
      </c>
      <c r="C78" s="5" t="s">
        <v>194</v>
      </c>
      <c r="D78" s="34" t="s">
        <v>54</v>
      </c>
      <c r="E78" s="34" t="s">
        <v>219</v>
      </c>
      <c r="F78" s="34" t="s">
        <v>220</v>
      </c>
      <c r="G78" s="33">
        <f>+G71</f>
        <v>0</v>
      </c>
      <c r="H78" s="33">
        <f t="shared" si="11"/>
        <v>0</v>
      </c>
    </row>
    <row r="79" spans="1:8" ht="22.5" x14ac:dyDescent="0.25">
      <c r="A79" s="2" t="s">
        <v>221</v>
      </c>
      <c r="B79" s="2" t="s">
        <v>222</v>
      </c>
      <c r="C79" s="3" t="s">
        <v>223</v>
      </c>
      <c r="D79" s="70" t="s">
        <v>200</v>
      </c>
      <c r="E79" s="116" t="s">
        <v>224</v>
      </c>
      <c r="F79" s="116"/>
      <c r="G79" s="50">
        <f>148500/1.12</f>
        <v>132589.28571428571</v>
      </c>
      <c r="H79" s="33">
        <f>+G79*E79</f>
        <v>5356607.1428571427</v>
      </c>
    </row>
    <row r="80" spans="1:8" ht="67.5" x14ac:dyDescent="0.25">
      <c r="A80" s="2" t="s">
        <v>225</v>
      </c>
      <c r="B80" s="2" t="s">
        <v>105</v>
      </c>
      <c r="C80" s="3" t="s">
        <v>106</v>
      </c>
      <c r="D80" s="70" t="s">
        <v>107</v>
      </c>
      <c r="E80" s="116" t="s">
        <v>226</v>
      </c>
      <c r="F80" s="116"/>
      <c r="G80" s="33"/>
      <c r="H80" s="33"/>
    </row>
    <row r="81" spans="1:8" x14ac:dyDescent="0.25">
      <c r="A81" s="4" t="s">
        <v>227</v>
      </c>
      <c r="B81" s="4" t="s">
        <v>34</v>
      </c>
      <c r="C81" s="5" t="s">
        <v>35</v>
      </c>
      <c r="D81" s="34" t="s">
        <v>16</v>
      </c>
      <c r="E81" s="34" t="s">
        <v>110</v>
      </c>
      <c r="F81" s="34" t="s">
        <v>27</v>
      </c>
      <c r="G81" s="33">
        <f>+G74</f>
        <v>26500</v>
      </c>
      <c r="H81" s="33">
        <f>G81*F81</f>
        <v>1224300</v>
      </c>
    </row>
    <row r="82" spans="1:8" ht="33.75" x14ac:dyDescent="0.25">
      <c r="A82" s="2" t="s">
        <v>228</v>
      </c>
      <c r="B82" s="2" t="s">
        <v>229</v>
      </c>
      <c r="C82" s="3" t="s">
        <v>230</v>
      </c>
      <c r="D82" s="70" t="s">
        <v>107</v>
      </c>
      <c r="E82" s="116" t="s">
        <v>231</v>
      </c>
      <c r="F82" s="116"/>
      <c r="G82" s="33"/>
      <c r="H82" s="33"/>
    </row>
    <row r="83" spans="1:8" x14ac:dyDescent="0.25">
      <c r="A83" s="4" t="s">
        <v>232</v>
      </c>
      <c r="B83" s="4" t="s">
        <v>34</v>
      </c>
      <c r="C83" s="5" t="s">
        <v>35</v>
      </c>
      <c r="D83" s="34" t="s">
        <v>16</v>
      </c>
      <c r="E83" s="34" t="s">
        <v>233</v>
      </c>
      <c r="F83" s="34" t="s">
        <v>234</v>
      </c>
      <c r="G83" s="33">
        <f>+G81</f>
        <v>26500</v>
      </c>
      <c r="H83" s="33">
        <f t="shared" ref="H83:H89" si="12">G83*F83</f>
        <v>108577920</v>
      </c>
    </row>
    <row r="84" spans="1:8" x14ac:dyDescent="0.25">
      <c r="A84" s="4" t="s">
        <v>235</v>
      </c>
      <c r="B84" s="4" t="s">
        <v>14</v>
      </c>
      <c r="C84" s="5" t="s">
        <v>15</v>
      </c>
      <c r="D84" s="34" t="s">
        <v>16</v>
      </c>
      <c r="E84" s="34" t="s">
        <v>236</v>
      </c>
      <c r="F84" s="34" t="s">
        <v>237</v>
      </c>
      <c r="G84" s="33">
        <f>+G75</f>
        <v>0</v>
      </c>
      <c r="H84" s="33">
        <f t="shared" si="12"/>
        <v>0</v>
      </c>
    </row>
    <row r="85" spans="1:8" ht="22.5" x14ac:dyDescent="0.25">
      <c r="A85" s="4" t="s">
        <v>238</v>
      </c>
      <c r="B85" s="4" t="s">
        <v>239</v>
      </c>
      <c r="C85" s="5" t="s">
        <v>190</v>
      </c>
      <c r="D85" s="34" t="s">
        <v>21</v>
      </c>
      <c r="E85" s="34" t="s">
        <v>236</v>
      </c>
      <c r="F85" s="34" t="s">
        <v>237</v>
      </c>
      <c r="G85" s="33">
        <f>+G77</f>
        <v>35000</v>
      </c>
      <c r="H85" s="33">
        <f t="shared" si="12"/>
        <v>22407</v>
      </c>
    </row>
    <row r="86" spans="1:8" x14ac:dyDescent="0.25">
      <c r="A86" s="4" t="s">
        <v>240</v>
      </c>
      <c r="B86" s="4" t="s">
        <v>241</v>
      </c>
      <c r="C86" s="5" t="s">
        <v>242</v>
      </c>
      <c r="D86" s="34" t="s">
        <v>54</v>
      </c>
      <c r="E86" s="34" t="s">
        <v>243</v>
      </c>
      <c r="F86" s="34" t="s">
        <v>244</v>
      </c>
      <c r="G86" s="35">
        <f>+G62</f>
        <v>22300</v>
      </c>
      <c r="H86" s="33">
        <f t="shared" si="12"/>
        <v>24983804.999999996</v>
      </c>
    </row>
    <row r="87" spans="1:8" x14ac:dyDescent="0.25">
      <c r="A87" s="4" t="s">
        <v>245</v>
      </c>
      <c r="B87" s="4" t="s">
        <v>246</v>
      </c>
      <c r="C87" s="5" t="s">
        <v>194</v>
      </c>
      <c r="D87" s="34" t="s">
        <v>54</v>
      </c>
      <c r="E87" s="34" t="s">
        <v>172</v>
      </c>
      <c r="F87" s="34" t="s">
        <v>247</v>
      </c>
      <c r="G87" s="33">
        <f>+G78</f>
        <v>0</v>
      </c>
      <c r="H87" s="33">
        <f t="shared" si="12"/>
        <v>0</v>
      </c>
    </row>
    <row r="88" spans="1:8" x14ac:dyDescent="0.25">
      <c r="A88" s="4" t="s">
        <v>248</v>
      </c>
      <c r="B88" s="4" t="s">
        <v>249</v>
      </c>
      <c r="C88" s="5" t="s">
        <v>250</v>
      </c>
      <c r="D88" s="34" t="s">
        <v>60</v>
      </c>
      <c r="E88" s="34" t="s">
        <v>251</v>
      </c>
      <c r="F88" s="34" t="s">
        <v>252</v>
      </c>
      <c r="G88" s="50">
        <v>11500000</v>
      </c>
      <c r="H88" s="33">
        <f t="shared" si="12"/>
        <v>331303.5</v>
      </c>
    </row>
    <row r="89" spans="1:8" ht="33.75" x14ac:dyDescent="0.25">
      <c r="A89" s="4" t="s">
        <v>253</v>
      </c>
      <c r="B89" s="4" t="s">
        <v>254</v>
      </c>
      <c r="C89" s="5" t="s">
        <v>255</v>
      </c>
      <c r="D89" s="34" t="s">
        <v>54</v>
      </c>
      <c r="E89" s="34" t="s">
        <v>256</v>
      </c>
      <c r="F89" s="34" t="s">
        <v>257</v>
      </c>
      <c r="G89" s="50">
        <v>2350000</v>
      </c>
      <c r="H89" s="33">
        <f t="shared" si="12"/>
        <v>3836398.5</v>
      </c>
    </row>
    <row r="90" spans="1:8" ht="56.25" x14ac:dyDescent="0.25">
      <c r="A90" s="2" t="s">
        <v>258</v>
      </c>
      <c r="B90" s="2" t="s">
        <v>81</v>
      </c>
      <c r="C90" s="3" t="s">
        <v>82</v>
      </c>
      <c r="D90" s="70" t="s">
        <v>11</v>
      </c>
      <c r="E90" s="116" t="s">
        <v>259</v>
      </c>
      <c r="F90" s="116"/>
      <c r="G90" s="33"/>
      <c r="H90" s="33"/>
    </row>
    <row r="91" spans="1:8" x14ac:dyDescent="0.25">
      <c r="A91" s="4" t="s">
        <v>260</v>
      </c>
      <c r="B91" s="4" t="s">
        <v>34</v>
      </c>
      <c r="C91" s="5" t="s">
        <v>35</v>
      </c>
      <c r="D91" s="34" t="s">
        <v>16</v>
      </c>
      <c r="E91" s="34" t="s">
        <v>85</v>
      </c>
      <c r="F91" s="34" t="s">
        <v>261</v>
      </c>
      <c r="G91" s="33">
        <f>+G83</f>
        <v>26500</v>
      </c>
      <c r="H91" s="33">
        <f t="shared" ref="H91:H95" si="13">G91*F91</f>
        <v>1452366.6849999998</v>
      </c>
    </row>
    <row r="92" spans="1:8" ht="22.5" x14ac:dyDescent="0.25">
      <c r="A92" s="4" t="s">
        <v>262</v>
      </c>
      <c r="B92" s="4" t="s">
        <v>14</v>
      </c>
      <c r="C92" s="5" t="s">
        <v>15</v>
      </c>
      <c r="D92" s="34" t="s">
        <v>16</v>
      </c>
      <c r="E92" s="34" t="s">
        <v>88</v>
      </c>
      <c r="F92" s="34" t="s">
        <v>263</v>
      </c>
      <c r="G92" s="33">
        <f>+G84</f>
        <v>0</v>
      </c>
      <c r="H92" s="33">
        <f t="shared" si="13"/>
        <v>0</v>
      </c>
    </row>
    <row r="93" spans="1:8" ht="33.75" x14ac:dyDescent="0.25">
      <c r="A93" s="4" t="s">
        <v>264</v>
      </c>
      <c r="B93" s="4" t="s">
        <v>42</v>
      </c>
      <c r="C93" s="5" t="s">
        <v>43</v>
      </c>
      <c r="D93" s="34" t="s">
        <v>21</v>
      </c>
      <c r="E93" s="34" t="s">
        <v>91</v>
      </c>
      <c r="F93" s="34" t="s">
        <v>265</v>
      </c>
      <c r="G93" s="33">
        <f>+G56</f>
        <v>162930</v>
      </c>
      <c r="H93" s="33">
        <f t="shared" si="13"/>
        <v>5972919.3005999997</v>
      </c>
    </row>
    <row r="94" spans="1:8" ht="33.75" x14ac:dyDescent="0.25">
      <c r="A94" s="4" t="s">
        <v>266</v>
      </c>
      <c r="B94" s="4" t="s">
        <v>47</v>
      </c>
      <c r="C94" s="5" t="s">
        <v>48</v>
      </c>
      <c r="D94" s="34" t="s">
        <v>21</v>
      </c>
      <c r="E94" s="34" t="s">
        <v>94</v>
      </c>
      <c r="F94" s="34" t="s">
        <v>267</v>
      </c>
      <c r="G94" s="33">
        <f>+G41</f>
        <v>314602</v>
      </c>
      <c r="H94" s="33">
        <f t="shared" si="13"/>
        <v>37202243.345539995</v>
      </c>
    </row>
    <row r="95" spans="1:8" x14ac:dyDescent="0.25">
      <c r="A95" s="4" t="s">
        <v>268</v>
      </c>
      <c r="B95" s="4" t="s">
        <v>52</v>
      </c>
      <c r="C95" s="5" t="s">
        <v>53</v>
      </c>
      <c r="D95" s="34" t="s">
        <v>54</v>
      </c>
      <c r="E95" s="34" t="s">
        <v>97</v>
      </c>
      <c r="F95" s="34" t="s">
        <v>269</v>
      </c>
      <c r="G95" s="33">
        <f>+G57</f>
        <v>50000</v>
      </c>
      <c r="H95" s="33">
        <f t="shared" si="13"/>
        <v>27426</v>
      </c>
    </row>
    <row r="96" spans="1:8" ht="45" x14ac:dyDescent="0.25">
      <c r="A96" s="2" t="s">
        <v>270</v>
      </c>
      <c r="B96" s="2" t="s">
        <v>58</v>
      </c>
      <c r="C96" s="3" t="s">
        <v>59</v>
      </c>
      <c r="D96" s="70" t="s">
        <v>60</v>
      </c>
      <c r="E96" s="116" t="s">
        <v>271</v>
      </c>
      <c r="F96" s="116"/>
      <c r="G96" s="33"/>
      <c r="H96" s="33"/>
    </row>
    <row r="97" spans="1:8" ht="22.5" x14ac:dyDescent="0.25">
      <c r="A97" s="4" t="s">
        <v>272</v>
      </c>
      <c r="B97" s="4" t="s">
        <v>14</v>
      </c>
      <c r="C97" s="5" t="s">
        <v>15</v>
      </c>
      <c r="D97" s="34" t="s">
        <v>16</v>
      </c>
      <c r="E97" s="34" t="s">
        <v>63</v>
      </c>
      <c r="F97" s="34" t="s">
        <v>273</v>
      </c>
      <c r="G97" s="33">
        <f>+G92</f>
        <v>0</v>
      </c>
      <c r="H97" s="33">
        <f t="shared" ref="H97:H98" si="14">G97*F97</f>
        <v>0</v>
      </c>
    </row>
    <row r="98" spans="1:8" ht="22.5" x14ac:dyDescent="0.25">
      <c r="A98" s="4" t="s">
        <v>274</v>
      </c>
      <c r="B98" s="4" t="s">
        <v>66</v>
      </c>
      <c r="C98" s="5" t="s">
        <v>67</v>
      </c>
      <c r="D98" s="34" t="s">
        <v>21</v>
      </c>
      <c r="E98" s="34" t="s">
        <v>63</v>
      </c>
      <c r="F98" s="34" t="s">
        <v>273</v>
      </c>
      <c r="G98" s="33">
        <f>+G45</f>
        <v>105005</v>
      </c>
      <c r="H98" s="33">
        <f t="shared" si="14"/>
        <v>10824242.280564999</v>
      </c>
    </row>
    <row r="99" spans="1:8" ht="33.75" x14ac:dyDescent="0.25">
      <c r="A99" s="2" t="s">
        <v>275</v>
      </c>
      <c r="B99" s="2" t="s">
        <v>113</v>
      </c>
      <c r="C99" s="3" t="s">
        <v>114</v>
      </c>
      <c r="D99" s="70" t="s">
        <v>11</v>
      </c>
      <c r="E99" s="116" t="s">
        <v>259</v>
      </c>
      <c r="F99" s="116"/>
      <c r="G99" s="33"/>
      <c r="H99" s="33"/>
    </row>
    <row r="100" spans="1:8" x14ac:dyDescent="0.25">
      <c r="A100" s="4" t="s">
        <v>276</v>
      </c>
      <c r="B100" s="4" t="s">
        <v>14</v>
      </c>
      <c r="C100" s="5" t="s">
        <v>15</v>
      </c>
      <c r="D100" s="34" t="s">
        <v>16</v>
      </c>
      <c r="E100" s="34" t="s">
        <v>116</v>
      </c>
      <c r="F100" s="34" t="s">
        <v>277</v>
      </c>
      <c r="G100" s="33">
        <f>+G97</f>
        <v>0</v>
      </c>
      <c r="H100" s="33">
        <f t="shared" ref="H100:H102" si="15">G100*F100</f>
        <v>0</v>
      </c>
    </row>
    <row r="101" spans="1:8" x14ac:dyDescent="0.25">
      <c r="A101" s="4" t="s">
        <v>278</v>
      </c>
      <c r="B101" s="4" t="s">
        <v>75</v>
      </c>
      <c r="C101" s="5" t="s">
        <v>76</v>
      </c>
      <c r="D101" s="34" t="s">
        <v>21</v>
      </c>
      <c r="E101" s="34" t="s">
        <v>116</v>
      </c>
      <c r="F101" s="34" t="s">
        <v>277</v>
      </c>
      <c r="G101" s="33">
        <f>+G50</f>
        <v>148642</v>
      </c>
      <c r="H101" s="33">
        <f t="shared" si="15"/>
        <v>1454007.1254800002</v>
      </c>
    </row>
    <row r="102" spans="1:8" x14ac:dyDescent="0.25">
      <c r="A102" s="4" t="s">
        <v>279</v>
      </c>
      <c r="B102" s="4" t="s">
        <v>52</v>
      </c>
      <c r="C102" s="5" t="s">
        <v>53</v>
      </c>
      <c r="D102" s="34" t="s">
        <v>54</v>
      </c>
      <c r="E102" s="34" t="s">
        <v>120</v>
      </c>
      <c r="F102" s="34" t="s">
        <v>280</v>
      </c>
      <c r="G102" s="33">
        <f>+G95</f>
        <v>50000</v>
      </c>
      <c r="H102" s="33">
        <f t="shared" si="15"/>
        <v>54852</v>
      </c>
    </row>
    <row r="103" spans="1:8" ht="67.5" x14ac:dyDescent="0.25">
      <c r="A103" s="2" t="s">
        <v>281</v>
      </c>
      <c r="B103" s="2" t="s">
        <v>282</v>
      </c>
      <c r="C103" s="3" t="s">
        <v>283</v>
      </c>
      <c r="D103" s="70" t="s">
        <v>11</v>
      </c>
      <c r="E103" s="116" t="s">
        <v>259</v>
      </c>
      <c r="F103" s="116"/>
      <c r="G103" s="33"/>
      <c r="H103" s="33"/>
    </row>
    <row r="104" spans="1:8" ht="22.5" x14ac:dyDescent="0.25">
      <c r="A104" s="4" t="s">
        <v>284</v>
      </c>
      <c r="B104" s="4" t="s">
        <v>14</v>
      </c>
      <c r="C104" s="5" t="s">
        <v>15</v>
      </c>
      <c r="D104" s="34" t="s">
        <v>16</v>
      </c>
      <c r="E104" s="34" t="s">
        <v>285</v>
      </c>
      <c r="F104" s="34" t="s">
        <v>286</v>
      </c>
      <c r="G104" s="33">
        <f>+G100</f>
        <v>0</v>
      </c>
      <c r="H104" s="33">
        <f t="shared" ref="H104:H105" si="16">G104*F104</f>
        <v>0</v>
      </c>
    </row>
    <row r="105" spans="1:8" ht="33.75" x14ac:dyDescent="0.25">
      <c r="A105" s="4" t="s">
        <v>287</v>
      </c>
      <c r="B105" s="4" t="s">
        <v>19</v>
      </c>
      <c r="C105" s="5" t="s">
        <v>20</v>
      </c>
      <c r="D105" s="34" t="s">
        <v>21</v>
      </c>
      <c r="E105" s="34" t="s">
        <v>285</v>
      </c>
      <c r="F105" s="34" t="s">
        <v>286</v>
      </c>
      <c r="G105" s="33">
        <f>+G23</f>
        <v>162930</v>
      </c>
      <c r="H105" s="33">
        <f t="shared" si="16"/>
        <v>7381247.2803300004</v>
      </c>
    </row>
    <row r="106" spans="1:8" ht="33.75" x14ac:dyDescent="0.25">
      <c r="A106" s="2" t="s">
        <v>288</v>
      </c>
      <c r="B106" s="2" t="s">
        <v>24</v>
      </c>
      <c r="C106" s="3" t="s">
        <v>25</v>
      </c>
      <c r="D106" s="70" t="s">
        <v>11</v>
      </c>
      <c r="E106" s="116" t="s">
        <v>259</v>
      </c>
      <c r="F106" s="116"/>
      <c r="G106" s="33"/>
      <c r="H106" s="33"/>
    </row>
    <row r="107" spans="1:8" x14ac:dyDescent="0.25">
      <c r="A107" s="4" t="s">
        <v>289</v>
      </c>
      <c r="B107" s="4" t="s">
        <v>14</v>
      </c>
      <c r="C107" s="5" t="s">
        <v>15</v>
      </c>
      <c r="D107" s="34" t="s">
        <v>16</v>
      </c>
      <c r="E107" s="34" t="s">
        <v>27</v>
      </c>
      <c r="F107" s="34" t="s">
        <v>290</v>
      </c>
      <c r="G107" s="33">
        <f>+G104</f>
        <v>0</v>
      </c>
      <c r="H107" s="33">
        <f t="shared" ref="H107:H108" si="17">G107*F107</f>
        <v>0</v>
      </c>
    </row>
    <row r="108" spans="1:8" ht="33.75" x14ac:dyDescent="0.25">
      <c r="A108" s="4" t="s">
        <v>291</v>
      </c>
      <c r="B108" s="4" t="s">
        <v>19</v>
      </c>
      <c r="C108" s="5" t="s">
        <v>20</v>
      </c>
      <c r="D108" s="34" t="s">
        <v>21</v>
      </c>
      <c r="E108" s="34" t="s">
        <v>27</v>
      </c>
      <c r="F108" s="34" t="s">
        <v>290</v>
      </c>
      <c r="G108" s="33">
        <f>+G105</f>
        <v>162930</v>
      </c>
      <c r="H108" s="33">
        <f t="shared" si="17"/>
        <v>34407589.986000001</v>
      </c>
    </row>
    <row r="109" spans="1:8" x14ac:dyDescent="0.25">
      <c r="A109" s="2" t="s">
        <v>292</v>
      </c>
      <c r="B109" s="2" t="s">
        <v>293</v>
      </c>
      <c r="C109" s="3" t="s">
        <v>294</v>
      </c>
      <c r="D109" s="70" t="s">
        <v>107</v>
      </c>
      <c r="E109" s="116" t="s">
        <v>295</v>
      </c>
      <c r="F109" s="116"/>
      <c r="G109" s="33"/>
      <c r="H109" s="33"/>
    </row>
    <row r="110" spans="1:8" x14ac:dyDescent="0.25">
      <c r="A110" s="4" t="s">
        <v>296</v>
      </c>
      <c r="B110" s="4" t="s">
        <v>34</v>
      </c>
      <c r="C110" s="5" t="s">
        <v>35</v>
      </c>
      <c r="D110" s="34" t="s">
        <v>16</v>
      </c>
      <c r="E110" s="34" t="s">
        <v>297</v>
      </c>
      <c r="F110" s="34" t="s">
        <v>298</v>
      </c>
      <c r="G110" s="33">
        <f>+G91</f>
        <v>26500</v>
      </c>
      <c r="H110" s="33">
        <f t="shared" ref="H110:H126" si="18">G110*F110</f>
        <v>60311.880000000005</v>
      </c>
    </row>
    <row r="111" spans="1:8" x14ac:dyDescent="0.25">
      <c r="A111" s="4" t="s">
        <v>299</v>
      </c>
      <c r="B111" s="4" t="s">
        <v>14</v>
      </c>
      <c r="C111" s="5" t="s">
        <v>15</v>
      </c>
      <c r="D111" s="34" t="s">
        <v>16</v>
      </c>
      <c r="E111" s="34" t="s">
        <v>300</v>
      </c>
      <c r="F111" s="34" t="s">
        <v>301</v>
      </c>
      <c r="G111" s="33">
        <f>+G107</f>
        <v>0</v>
      </c>
      <c r="H111" s="33">
        <f t="shared" si="18"/>
        <v>0</v>
      </c>
    </row>
    <row r="112" spans="1:8" x14ac:dyDescent="0.25">
      <c r="A112" s="4" t="s">
        <v>302</v>
      </c>
      <c r="B112" s="4" t="s">
        <v>303</v>
      </c>
      <c r="C112" s="5" t="s">
        <v>304</v>
      </c>
      <c r="D112" s="34" t="s">
        <v>21</v>
      </c>
      <c r="E112" s="34" t="s">
        <v>305</v>
      </c>
      <c r="F112" s="34" t="s">
        <v>306</v>
      </c>
      <c r="G112" s="32">
        <v>500</v>
      </c>
      <c r="H112" s="33">
        <f t="shared" si="18"/>
        <v>59.507999999999996</v>
      </c>
    </row>
    <row r="113" spans="1:9" ht="33.75" x14ac:dyDescent="0.25">
      <c r="A113" s="4" t="s">
        <v>307</v>
      </c>
      <c r="B113" s="4" t="s">
        <v>308</v>
      </c>
      <c r="C113" s="5" t="s">
        <v>309</v>
      </c>
      <c r="D113" s="34" t="s">
        <v>21</v>
      </c>
      <c r="E113" s="34" t="s">
        <v>310</v>
      </c>
      <c r="F113" s="34" t="s">
        <v>311</v>
      </c>
      <c r="G113" s="32">
        <v>25300</v>
      </c>
      <c r="H113" s="33">
        <f t="shared" si="18"/>
        <v>1410.46488</v>
      </c>
    </row>
    <row r="114" spans="1:9" ht="33.75" x14ac:dyDescent="0.25">
      <c r="A114" s="4" t="s">
        <v>312</v>
      </c>
      <c r="B114" s="4" t="s">
        <v>313</v>
      </c>
      <c r="C114" s="5" t="s">
        <v>314</v>
      </c>
      <c r="D114" s="34" t="s">
        <v>21</v>
      </c>
      <c r="E114" s="34" t="s">
        <v>315</v>
      </c>
      <c r="F114" s="34" t="s">
        <v>316</v>
      </c>
      <c r="G114" s="35">
        <f>+G69</f>
        <v>113021</v>
      </c>
      <c r="H114" s="33">
        <f t="shared" si="18"/>
        <v>566.37083519999999</v>
      </c>
    </row>
    <row r="115" spans="1:9" ht="33.75" x14ac:dyDescent="0.25">
      <c r="A115" s="4" t="s">
        <v>317</v>
      </c>
      <c r="B115" s="4" t="s">
        <v>318</v>
      </c>
      <c r="C115" s="5" t="s">
        <v>319</v>
      </c>
      <c r="D115" s="34" t="s">
        <v>21</v>
      </c>
      <c r="E115" s="34" t="s">
        <v>320</v>
      </c>
      <c r="F115" s="34" t="s">
        <v>321</v>
      </c>
      <c r="G115" s="35">
        <f>+G114</f>
        <v>113021</v>
      </c>
      <c r="H115" s="33">
        <f t="shared" si="18"/>
        <v>10855.441008</v>
      </c>
    </row>
    <row r="116" spans="1:9" ht="22.5" x14ac:dyDescent="0.25">
      <c r="A116" s="4" t="s">
        <v>322</v>
      </c>
      <c r="B116" s="4" t="s">
        <v>323</v>
      </c>
      <c r="C116" s="5" t="s">
        <v>324</v>
      </c>
      <c r="D116" s="34" t="s">
        <v>21</v>
      </c>
      <c r="E116" s="34" t="s">
        <v>325</v>
      </c>
      <c r="F116" s="34" t="s">
        <v>326</v>
      </c>
      <c r="G116" s="32">
        <v>25000</v>
      </c>
      <c r="H116" s="33">
        <f t="shared" si="18"/>
        <v>5574.96</v>
      </c>
    </row>
    <row r="117" spans="1:9" x14ac:dyDescent="0.25">
      <c r="A117" s="4" t="s">
        <v>327</v>
      </c>
      <c r="B117" s="4" t="s">
        <v>328</v>
      </c>
      <c r="C117" s="5" t="s">
        <v>329</v>
      </c>
      <c r="D117" s="34" t="s">
        <v>21</v>
      </c>
      <c r="E117" s="34" t="s">
        <v>330</v>
      </c>
      <c r="F117" s="34" t="s">
        <v>331</v>
      </c>
      <c r="G117" s="32">
        <v>25000</v>
      </c>
      <c r="H117" s="33">
        <f t="shared" si="18"/>
        <v>743.85</v>
      </c>
    </row>
    <row r="118" spans="1:9" ht="22.5" x14ac:dyDescent="0.25">
      <c r="A118" s="4" t="s">
        <v>332</v>
      </c>
      <c r="B118" s="4" t="s">
        <v>239</v>
      </c>
      <c r="C118" s="5" t="s">
        <v>190</v>
      </c>
      <c r="D118" s="34" t="s">
        <v>21</v>
      </c>
      <c r="E118" s="34" t="s">
        <v>12</v>
      </c>
      <c r="F118" s="34" t="s">
        <v>333</v>
      </c>
      <c r="G118" s="33">
        <f>+G85</f>
        <v>35000</v>
      </c>
      <c r="H118" s="33">
        <f t="shared" si="18"/>
        <v>526.17599999999993</v>
      </c>
    </row>
    <row r="119" spans="1:9" ht="22.5" x14ac:dyDescent="0.25">
      <c r="A119" s="4" t="s">
        <v>334</v>
      </c>
      <c r="B119" s="4" t="s">
        <v>335</v>
      </c>
      <c r="C119" s="5" t="s">
        <v>336</v>
      </c>
      <c r="D119" s="34" t="s">
        <v>54</v>
      </c>
      <c r="E119" s="34" t="s">
        <v>337</v>
      </c>
      <c r="F119" s="34" t="s">
        <v>338</v>
      </c>
      <c r="G119" s="45">
        <v>691107.42350000003</v>
      </c>
      <c r="H119" s="33">
        <f t="shared" si="18"/>
        <v>732338.89238601003</v>
      </c>
      <c r="I119" s="52" t="e">
        <f>+I12</f>
        <v>#REF!</v>
      </c>
    </row>
    <row r="120" spans="1:9" ht="22.5" x14ac:dyDescent="0.25">
      <c r="A120" s="4" t="s">
        <v>339</v>
      </c>
      <c r="B120" s="4" t="s">
        <v>340</v>
      </c>
      <c r="C120" s="5" t="s">
        <v>341</v>
      </c>
      <c r="D120" s="34" t="s">
        <v>54</v>
      </c>
      <c r="E120" s="34" t="s">
        <v>342</v>
      </c>
      <c r="F120" s="34" t="s">
        <v>343</v>
      </c>
      <c r="G120" s="32">
        <v>0</v>
      </c>
      <c r="H120" s="33">
        <f t="shared" si="18"/>
        <v>0</v>
      </c>
    </row>
    <row r="121" spans="1:9" ht="22.5" x14ac:dyDescent="0.25">
      <c r="A121" s="4" t="s">
        <v>344</v>
      </c>
      <c r="B121" s="4" t="s">
        <v>246</v>
      </c>
      <c r="C121" s="5" t="s">
        <v>194</v>
      </c>
      <c r="D121" s="34" t="s">
        <v>54</v>
      </c>
      <c r="E121" s="34" t="s">
        <v>270</v>
      </c>
      <c r="F121" s="34" t="s">
        <v>345</v>
      </c>
      <c r="G121" s="33">
        <f>+G87</f>
        <v>0</v>
      </c>
      <c r="H121" s="33">
        <f t="shared" si="18"/>
        <v>0</v>
      </c>
    </row>
    <row r="122" spans="1:9" ht="22.5" x14ac:dyDescent="0.25">
      <c r="A122" s="4" t="s">
        <v>346</v>
      </c>
      <c r="B122" s="4" t="s">
        <v>249</v>
      </c>
      <c r="C122" s="5" t="s">
        <v>250</v>
      </c>
      <c r="D122" s="34" t="s">
        <v>60</v>
      </c>
      <c r="E122" s="34" t="s">
        <v>347</v>
      </c>
      <c r="F122" s="34" t="s">
        <v>348</v>
      </c>
      <c r="G122" s="33">
        <f>+G88</f>
        <v>11500000</v>
      </c>
      <c r="H122" s="33">
        <f t="shared" si="18"/>
        <v>598</v>
      </c>
    </row>
    <row r="123" spans="1:9" ht="22.5" x14ac:dyDescent="0.25">
      <c r="A123" s="4" t="s">
        <v>349</v>
      </c>
      <c r="B123" s="4" t="s">
        <v>350</v>
      </c>
      <c r="C123" s="5" t="s">
        <v>351</v>
      </c>
      <c r="D123" s="34" t="s">
        <v>60</v>
      </c>
      <c r="E123" s="34" t="s">
        <v>352</v>
      </c>
      <c r="F123" s="34" t="s">
        <v>353</v>
      </c>
      <c r="G123" s="32">
        <v>10000000</v>
      </c>
      <c r="H123" s="33">
        <f t="shared" si="18"/>
        <v>550</v>
      </c>
    </row>
    <row r="124" spans="1:9" ht="33.75" x14ac:dyDescent="0.25">
      <c r="A124" s="4" t="s">
        <v>354</v>
      </c>
      <c r="B124" s="4" t="s">
        <v>355</v>
      </c>
      <c r="C124" s="5" t="s">
        <v>356</v>
      </c>
      <c r="D124" s="34" t="s">
        <v>54</v>
      </c>
      <c r="E124" s="34" t="s">
        <v>78</v>
      </c>
      <c r="F124" s="34" t="s">
        <v>357</v>
      </c>
      <c r="G124" s="33">
        <f>+G89</f>
        <v>2350000</v>
      </c>
      <c r="H124" s="33">
        <f t="shared" si="18"/>
        <v>4906.8</v>
      </c>
    </row>
    <row r="125" spans="1:9" ht="22.5" x14ac:dyDescent="0.25">
      <c r="A125" s="4" t="s">
        <v>358</v>
      </c>
      <c r="B125" s="4" t="s">
        <v>359</v>
      </c>
      <c r="C125" s="5" t="s">
        <v>360</v>
      </c>
      <c r="D125" s="34" t="s">
        <v>361</v>
      </c>
      <c r="E125" s="34" t="s">
        <v>362</v>
      </c>
      <c r="F125" s="34" t="s">
        <v>363</v>
      </c>
      <c r="G125" s="32">
        <v>23000</v>
      </c>
      <c r="H125" s="33">
        <f t="shared" si="18"/>
        <v>1277.4384</v>
      </c>
    </row>
    <row r="126" spans="1:9" ht="22.5" x14ac:dyDescent="0.25">
      <c r="A126" s="4" t="s">
        <v>364</v>
      </c>
      <c r="B126" s="4" t="s">
        <v>365</v>
      </c>
      <c r="C126" s="5" t="s">
        <v>366</v>
      </c>
      <c r="D126" s="34" t="s">
        <v>367</v>
      </c>
      <c r="E126" s="34" t="s">
        <v>368</v>
      </c>
      <c r="F126" s="34" t="s">
        <v>369</v>
      </c>
      <c r="G126" s="32">
        <v>23000</v>
      </c>
      <c r="H126" s="33">
        <f t="shared" si="18"/>
        <v>4490.2440000000006</v>
      </c>
    </row>
    <row r="127" spans="1:9" ht="33.75" x14ac:dyDescent="0.25">
      <c r="A127" s="2" t="s">
        <v>370</v>
      </c>
      <c r="B127" s="2" t="s">
        <v>371</v>
      </c>
      <c r="C127" s="3" t="s">
        <v>372</v>
      </c>
      <c r="D127" s="70" t="s">
        <v>107</v>
      </c>
      <c r="E127" s="116" t="s">
        <v>373</v>
      </c>
      <c r="F127" s="116"/>
      <c r="G127" s="33"/>
      <c r="H127" s="33"/>
    </row>
    <row r="128" spans="1:9" x14ac:dyDescent="0.25">
      <c r="A128" s="4" t="s">
        <v>374</v>
      </c>
      <c r="B128" s="4" t="s">
        <v>34</v>
      </c>
      <c r="C128" s="5" t="s">
        <v>35</v>
      </c>
      <c r="D128" s="34" t="s">
        <v>16</v>
      </c>
      <c r="E128" s="34" t="s">
        <v>375</v>
      </c>
      <c r="F128" s="34" t="s">
        <v>376</v>
      </c>
      <c r="G128" s="33">
        <f>+G110</f>
        <v>26500</v>
      </c>
      <c r="H128" s="33">
        <f t="shared" ref="H128:H141" si="19">G128*F128</f>
        <v>2386908</v>
      </c>
    </row>
    <row r="129" spans="1:8" x14ac:dyDescent="0.25">
      <c r="A129" s="4" t="s">
        <v>377</v>
      </c>
      <c r="B129" s="4" t="s">
        <v>14</v>
      </c>
      <c r="C129" s="5" t="s">
        <v>15</v>
      </c>
      <c r="D129" s="34" t="s">
        <v>16</v>
      </c>
      <c r="E129" s="34" t="s">
        <v>378</v>
      </c>
      <c r="F129" s="34" t="s">
        <v>379</v>
      </c>
      <c r="G129" s="33">
        <f>+G111</f>
        <v>0</v>
      </c>
      <c r="H129" s="33">
        <f t="shared" si="19"/>
        <v>0</v>
      </c>
    </row>
    <row r="130" spans="1:8" ht="33.75" x14ac:dyDescent="0.25">
      <c r="A130" s="4" t="s">
        <v>380</v>
      </c>
      <c r="B130" s="4" t="s">
        <v>381</v>
      </c>
      <c r="C130" s="5" t="s">
        <v>382</v>
      </c>
      <c r="D130" s="34" t="s">
        <v>21</v>
      </c>
      <c r="E130" s="34" t="s">
        <v>221</v>
      </c>
      <c r="F130" s="34" t="s">
        <v>383</v>
      </c>
      <c r="G130" s="32">
        <v>11500</v>
      </c>
      <c r="H130" s="33">
        <f t="shared" si="19"/>
        <v>19872</v>
      </c>
    </row>
    <row r="131" spans="1:8" ht="33.75" x14ac:dyDescent="0.25">
      <c r="A131" s="4" t="s">
        <v>384</v>
      </c>
      <c r="B131" s="4" t="s">
        <v>313</v>
      </c>
      <c r="C131" s="5" t="s">
        <v>314</v>
      </c>
      <c r="D131" s="34" t="s">
        <v>21</v>
      </c>
      <c r="E131" s="34" t="s">
        <v>385</v>
      </c>
      <c r="F131" s="34" t="s">
        <v>386</v>
      </c>
      <c r="G131" s="33">
        <f>+G114</f>
        <v>113021</v>
      </c>
      <c r="H131" s="33">
        <f t="shared" si="19"/>
        <v>40280.684399999998</v>
      </c>
    </row>
    <row r="132" spans="1:8" ht="33.75" x14ac:dyDescent="0.25">
      <c r="A132" s="4" t="s">
        <v>387</v>
      </c>
      <c r="B132" s="4" t="s">
        <v>318</v>
      </c>
      <c r="C132" s="5" t="s">
        <v>319</v>
      </c>
      <c r="D132" s="34" t="s">
        <v>21</v>
      </c>
      <c r="E132" s="34" t="s">
        <v>388</v>
      </c>
      <c r="F132" s="34" t="s">
        <v>389</v>
      </c>
      <c r="G132" s="33">
        <f>+G115</f>
        <v>113021</v>
      </c>
      <c r="H132" s="33">
        <f t="shared" si="19"/>
        <v>1599875.5467600001</v>
      </c>
    </row>
    <row r="133" spans="1:8" ht="22.5" x14ac:dyDescent="0.25">
      <c r="A133" s="4" t="s">
        <v>390</v>
      </c>
      <c r="B133" s="4" t="s">
        <v>239</v>
      </c>
      <c r="C133" s="5" t="s">
        <v>190</v>
      </c>
      <c r="D133" s="34" t="s">
        <v>21</v>
      </c>
      <c r="E133" s="34" t="s">
        <v>391</v>
      </c>
      <c r="F133" s="34" t="s">
        <v>392</v>
      </c>
      <c r="G133" s="33">
        <f>+G118</f>
        <v>35000</v>
      </c>
      <c r="H133" s="33">
        <f t="shared" si="19"/>
        <v>37195.200000000004</v>
      </c>
    </row>
    <row r="134" spans="1:8" ht="22.5" x14ac:dyDescent="0.25">
      <c r="A134" s="4" t="s">
        <v>393</v>
      </c>
      <c r="B134" s="4" t="s">
        <v>340</v>
      </c>
      <c r="C134" s="5" t="s">
        <v>341</v>
      </c>
      <c r="D134" s="34" t="s">
        <v>54</v>
      </c>
      <c r="E134" s="34" t="s">
        <v>394</v>
      </c>
      <c r="F134" s="34" t="s">
        <v>395</v>
      </c>
      <c r="G134" s="33">
        <f>+G120</f>
        <v>0</v>
      </c>
      <c r="H134" s="33">
        <f t="shared" si="19"/>
        <v>0</v>
      </c>
    </row>
    <row r="135" spans="1:8" x14ac:dyDescent="0.25">
      <c r="A135" s="4" t="s">
        <v>396</v>
      </c>
      <c r="B135" s="4" t="s">
        <v>249</v>
      </c>
      <c r="C135" s="5" t="s">
        <v>250</v>
      </c>
      <c r="D135" s="34" t="s">
        <v>60</v>
      </c>
      <c r="E135" s="34" t="s">
        <v>397</v>
      </c>
      <c r="F135" s="34" t="s">
        <v>398</v>
      </c>
      <c r="G135" s="33">
        <f>+G122</f>
        <v>11500000</v>
      </c>
      <c r="H135" s="33">
        <f t="shared" si="19"/>
        <v>78246</v>
      </c>
    </row>
    <row r="136" spans="1:8" x14ac:dyDescent="0.25">
      <c r="A136" s="4" t="s">
        <v>399</v>
      </c>
      <c r="B136" s="4" t="s">
        <v>400</v>
      </c>
      <c r="C136" s="5" t="s">
        <v>401</v>
      </c>
      <c r="D136" s="34" t="s">
        <v>60</v>
      </c>
      <c r="E136" s="34" t="s">
        <v>97</v>
      </c>
      <c r="F136" s="34" t="s">
        <v>402</v>
      </c>
      <c r="G136" s="32">
        <v>3500000</v>
      </c>
      <c r="H136" s="33">
        <f t="shared" si="19"/>
        <v>45360</v>
      </c>
    </row>
    <row r="137" spans="1:8" ht="22.5" x14ac:dyDescent="0.25">
      <c r="A137" s="4" t="s">
        <v>403</v>
      </c>
      <c r="B137" s="4" t="s">
        <v>404</v>
      </c>
      <c r="C137" s="5" t="s">
        <v>405</v>
      </c>
      <c r="D137" s="34" t="s">
        <v>60</v>
      </c>
      <c r="E137" s="34" t="s">
        <v>406</v>
      </c>
      <c r="F137" s="34" t="s">
        <v>407</v>
      </c>
      <c r="G137" s="32">
        <v>22500000</v>
      </c>
      <c r="H137" s="33">
        <f t="shared" si="19"/>
        <v>19440</v>
      </c>
    </row>
    <row r="138" spans="1:8" ht="33.75" x14ac:dyDescent="0.25">
      <c r="A138" s="4" t="s">
        <v>408</v>
      </c>
      <c r="B138" s="4" t="s">
        <v>409</v>
      </c>
      <c r="C138" s="5" t="s">
        <v>410</v>
      </c>
      <c r="D138" s="34" t="s">
        <v>54</v>
      </c>
      <c r="E138" s="34" t="s">
        <v>411</v>
      </c>
      <c r="F138" s="34" t="s">
        <v>412</v>
      </c>
      <c r="G138" s="33">
        <f>+G124</f>
        <v>2350000</v>
      </c>
      <c r="H138" s="33">
        <f t="shared" si="19"/>
        <v>1469502</v>
      </c>
    </row>
    <row r="139" spans="1:8" ht="33.75" x14ac:dyDescent="0.25">
      <c r="A139" s="4" t="s">
        <v>413</v>
      </c>
      <c r="B139" s="4" t="s">
        <v>414</v>
      </c>
      <c r="C139" s="5" t="s">
        <v>415</v>
      </c>
      <c r="D139" s="34" t="s">
        <v>54</v>
      </c>
      <c r="E139" s="34" t="s">
        <v>120</v>
      </c>
      <c r="F139" s="34" t="s">
        <v>416</v>
      </c>
      <c r="G139" s="33">
        <f>+G138</f>
        <v>2350000</v>
      </c>
      <c r="H139" s="33">
        <f t="shared" si="19"/>
        <v>60912</v>
      </c>
    </row>
    <row r="140" spans="1:8" ht="22.5" x14ac:dyDescent="0.25">
      <c r="A140" s="4" t="s">
        <v>417</v>
      </c>
      <c r="B140" s="4" t="s">
        <v>418</v>
      </c>
      <c r="C140" s="5" t="s">
        <v>419</v>
      </c>
      <c r="D140" s="34" t="s">
        <v>60</v>
      </c>
      <c r="E140" s="34" t="s">
        <v>420</v>
      </c>
      <c r="F140" s="34" t="s">
        <v>421</v>
      </c>
      <c r="G140" s="32">
        <v>11350300</v>
      </c>
      <c r="H140" s="33">
        <f t="shared" si="19"/>
        <v>22064.983199999999</v>
      </c>
    </row>
    <row r="141" spans="1:8" ht="22.5" x14ac:dyDescent="0.25">
      <c r="A141" s="4" t="s">
        <v>422</v>
      </c>
      <c r="B141" s="4" t="s">
        <v>423</v>
      </c>
      <c r="C141" s="5" t="s">
        <v>424</v>
      </c>
      <c r="D141" s="34" t="s">
        <v>60</v>
      </c>
      <c r="E141" s="34" t="s">
        <v>425</v>
      </c>
      <c r="F141" s="34" t="s">
        <v>426</v>
      </c>
      <c r="G141" s="35">
        <f>+G140</f>
        <v>11350300</v>
      </c>
      <c r="H141" s="33">
        <f t="shared" si="19"/>
        <v>870341.00399999996</v>
      </c>
    </row>
    <row r="142" spans="1:8" ht="33.75" x14ac:dyDescent="0.25">
      <c r="A142" s="2" t="s">
        <v>427</v>
      </c>
      <c r="B142" s="2" t="s">
        <v>428</v>
      </c>
      <c r="C142" s="3" t="s">
        <v>429</v>
      </c>
      <c r="D142" s="70" t="s">
        <v>54</v>
      </c>
      <c r="E142" s="116" t="s">
        <v>430</v>
      </c>
      <c r="F142" s="116"/>
      <c r="G142" s="32">
        <v>1050136</v>
      </c>
      <c r="H142" s="33">
        <f>+G142*E142</f>
        <v>2268293.7600000002</v>
      </c>
    </row>
    <row r="143" spans="1:8" ht="33.75" x14ac:dyDescent="0.25">
      <c r="A143" s="2" t="s">
        <v>431</v>
      </c>
      <c r="B143" s="2" t="s">
        <v>432</v>
      </c>
      <c r="C143" s="3" t="s">
        <v>433</v>
      </c>
      <c r="D143" s="70" t="s">
        <v>54</v>
      </c>
      <c r="E143" s="116" t="s">
        <v>434</v>
      </c>
      <c r="F143" s="116"/>
      <c r="G143" s="35">
        <f>+G142</f>
        <v>1050136</v>
      </c>
      <c r="H143" s="33">
        <f>+G143*E143</f>
        <v>5040652.8</v>
      </c>
    </row>
    <row r="144" spans="1:8" ht="33.75" x14ac:dyDescent="0.25">
      <c r="A144" s="2" t="s">
        <v>435</v>
      </c>
      <c r="B144" s="2" t="s">
        <v>436</v>
      </c>
      <c r="C144" s="3" t="s">
        <v>437</v>
      </c>
      <c r="D144" s="70" t="s">
        <v>54</v>
      </c>
      <c r="E144" s="116" t="s">
        <v>438</v>
      </c>
      <c r="F144" s="116"/>
      <c r="G144" s="35">
        <f>+G143</f>
        <v>1050136</v>
      </c>
      <c r="H144" s="33">
        <f>+G144*E144</f>
        <v>4032522.2399999998</v>
      </c>
    </row>
    <row r="145" spans="1:8" ht="22.5" x14ac:dyDescent="0.25">
      <c r="A145" s="2" t="s">
        <v>439</v>
      </c>
      <c r="B145" s="2" t="s">
        <v>440</v>
      </c>
      <c r="C145" s="3" t="s">
        <v>441</v>
      </c>
      <c r="D145" s="70" t="s">
        <v>107</v>
      </c>
      <c r="E145" s="116" t="s">
        <v>442</v>
      </c>
      <c r="F145" s="116"/>
      <c r="G145" s="33"/>
      <c r="H145" s="33"/>
    </row>
    <row r="146" spans="1:8" x14ac:dyDescent="0.25">
      <c r="A146" s="4" t="s">
        <v>443</v>
      </c>
      <c r="B146" s="4" t="s">
        <v>34</v>
      </c>
      <c r="C146" s="5" t="s">
        <v>35</v>
      </c>
      <c r="D146" s="34" t="s">
        <v>16</v>
      </c>
      <c r="E146" s="34" t="s">
        <v>444</v>
      </c>
      <c r="F146" s="34" t="s">
        <v>445</v>
      </c>
      <c r="G146" s="33">
        <f>+G128</f>
        <v>26500</v>
      </c>
      <c r="H146" s="33">
        <f t="shared" ref="H146:H151" si="20">G146*F146</f>
        <v>106848</v>
      </c>
    </row>
    <row r="147" spans="1:8" x14ac:dyDescent="0.25">
      <c r="A147" s="4" t="s">
        <v>446</v>
      </c>
      <c r="B147" s="4" t="s">
        <v>14</v>
      </c>
      <c r="C147" s="5" t="s">
        <v>15</v>
      </c>
      <c r="D147" s="34" t="s">
        <v>16</v>
      </c>
      <c r="E147" s="34" t="s">
        <v>447</v>
      </c>
      <c r="F147" s="34" t="s">
        <v>448</v>
      </c>
      <c r="G147" s="33">
        <f>+G129</f>
        <v>0</v>
      </c>
      <c r="H147" s="33">
        <f t="shared" si="20"/>
        <v>0</v>
      </c>
    </row>
    <row r="148" spans="1:8" ht="33.75" x14ac:dyDescent="0.25">
      <c r="A148" s="4" t="s">
        <v>449</v>
      </c>
      <c r="B148" s="4" t="s">
        <v>313</v>
      </c>
      <c r="C148" s="5" t="s">
        <v>314</v>
      </c>
      <c r="D148" s="34" t="s">
        <v>21</v>
      </c>
      <c r="E148" s="34" t="s">
        <v>450</v>
      </c>
      <c r="F148" s="34" t="s">
        <v>451</v>
      </c>
      <c r="G148" s="33">
        <f>+G131</f>
        <v>113021</v>
      </c>
      <c r="H148" s="33">
        <f t="shared" si="20"/>
        <v>3499.1301600000002</v>
      </c>
    </row>
    <row r="149" spans="1:8" ht="33.75" x14ac:dyDescent="0.25">
      <c r="A149" s="4" t="s">
        <v>452</v>
      </c>
      <c r="B149" s="4" t="s">
        <v>318</v>
      </c>
      <c r="C149" s="5" t="s">
        <v>319</v>
      </c>
      <c r="D149" s="34" t="s">
        <v>21</v>
      </c>
      <c r="E149" s="34" t="s">
        <v>453</v>
      </c>
      <c r="F149" s="34" t="s">
        <v>454</v>
      </c>
      <c r="G149" s="33">
        <f>+G132</f>
        <v>113021</v>
      </c>
      <c r="H149" s="33">
        <f t="shared" si="20"/>
        <v>88020.75480000001</v>
      </c>
    </row>
    <row r="150" spans="1:8" ht="22.5" x14ac:dyDescent="0.25">
      <c r="A150" s="4" t="s">
        <v>455</v>
      </c>
      <c r="B150" s="4" t="s">
        <v>239</v>
      </c>
      <c r="C150" s="5" t="s">
        <v>190</v>
      </c>
      <c r="D150" s="34" t="s">
        <v>21</v>
      </c>
      <c r="E150" s="34" t="s">
        <v>219</v>
      </c>
      <c r="F150" s="34" t="s">
        <v>456</v>
      </c>
      <c r="G150" s="33">
        <f>+G133</f>
        <v>35000</v>
      </c>
      <c r="H150" s="33">
        <f t="shared" si="20"/>
        <v>3276</v>
      </c>
    </row>
    <row r="151" spans="1:8" ht="22.5" x14ac:dyDescent="0.25">
      <c r="A151" s="4" t="s">
        <v>457</v>
      </c>
      <c r="B151" s="4" t="s">
        <v>340</v>
      </c>
      <c r="C151" s="5" t="s">
        <v>341</v>
      </c>
      <c r="D151" s="34" t="s">
        <v>54</v>
      </c>
      <c r="E151" s="34" t="s">
        <v>458</v>
      </c>
      <c r="F151" s="34" t="s">
        <v>459</v>
      </c>
      <c r="G151" s="33">
        <f>+G134</f>
        <v>0</v>
      </c>
      <c r="H151" s="33">
        <f t="shared" si="20"/>
        <v>0</v>
      </c>
    </row>
    <row r="152" spans="1:8" ht="22.5" x14ac:dyDescent="0.25">
      <c r="A152" s="2" t="s">
        <v>460</v>
      </c>
      <c r="B152" s="2" t="s">
        <v>461</v>
      </c>
      <c r="C152" s="3" t="s">
        <v>462</v>
      </c>
      <c r="D152" s="70" t="s">
        <v>54</v>
      </c>
      <c r="E152" s="116" t="s">
        <v>463</v>
      </c>
      <c r="F152" s="116"/>
      <c r="G152" s="32">
        <v>2817796</v>
      </c>
      <c r="H152" s="33">
        <f>+G152*E152</f>
        <v>3381355.1999999997</v>
      </c>
    </row>
    <row r="153" spans="1:8" x14ac:dyDescent="0.25">
      <c r="A153" s="2" t="s">
        <v>464</v>
      </c>
      <c r="B153" s="2" t="s">
        <v>465</v>
      </c>
      <c r="C153" s="3" t="s">
        <v>466</v>
      </c>
      <c r="D153" s="70" t="s">
        <v>164</v>
      </c>
      <c r="E153" s="116" t="s">
        <v>80</v>
      </c>
      <c r="F153" s="116"/>
      <c r="G153" s="33"/>
      <c r="H153" s="33"/>
    </row>
    <row r="154" spans="1:8" x14ac:dyDescent="0.25">
      <c r="A154" s="4" t="s">
        <v>467</v>
      </c>
      <c r="B154" s="4" t="s">
        <v>34</v>
      </c>
      <c r="C154" s="5" t="s">
        <v>35</v>
      </c>
      <c r="D154" s="34" t="s">
        <v>16</v>
      </c>
      <c r="E154" s="34" t="s">
        <v>468</v>
      </c>
      <c r="F154" s="34" t="s">
        <v>469</v>
      </c>
      <c r="G154" s="33">
        <f>+G146</f>
        <v>26500</v>
      </c>
      <c r="H154" s="33">
        <f t="shared" ref="H154:H158" si="21">G154*F154</f>
        <v>208290</v>
      </c>
    </row>
    <row r="155" spans="1:8" x14ac:dyDescent="0.25">
      <c r="A155" s="4" t="s">
        <v>470</v>
      </c>
      <c r="B155" s="4" t="s">
        <v>14</v>
      </c>
      <c r="C155" s="5" t="s">
        <v>15</v>
      </c>
      <c r="D155" s="34" t="s">
        <v>16</v>
      </c>
      <c r="E155" s="34" t="s">
        <v>471</v>
      </c>
      <c r="F155" s="34" t="s">
        <v>472</v>
      </c>
      <c r="G155" s="33">
        <f>+G147</f>
        <v>0</v>
      </c>
      <c r="H155" s="33">
        <f t="shared" si="21"/>
        <v>0</v>
      </c>
    </row>
    <row r="156" spans="1:8" ht="22.5" x14ac:dyDescent="0.25">
      <c r="A156" s="4" t="s">
        <v>473</v>
      </c>
      <c r="B156" s="4" t="s">
        <v>189</v>
      </c>
      <c r="C156" s="5" t="s">
        <v>190</v>
      </c>
      <c r="D156" s="34" t="s">
        <v>21</v>
      </c>
      <c r="E156" s="34" t="s">
        <v>471</v>
      </c>
      <c r="F156" s="34" t="s">
        <v>472</v>
      </c>
      <c r="G156" s="33">
        <f>+G150</f>
        <v>35000</v>
      </c>
      <c r="H156" s="33">
        <f t="shared" si="21"/>
        <v>14700</v>
      </c>
    </row>
    <row r="157" spans="1:8" x14ac:dyDescent="0.25">
      <c r="A157" s="4" t="s">
        <v>474</v>
      </c>
      <c r="B157" s="4" t="s">
        <v>475</v>
      </c>
      <c r="C157" s="5" t="s">
        <v>476</v>
      </c>
      <c r="D157" s="34" t="s">
        <v>54</v>
      </c>
      <c r="E157" s="34" t="s">
        <v>477</v>
      </c>
      <c r="F157" s="34" t="s">
        <v>478</v>
      </c>
      <c r="G157" s="50">
        <v>566043</v>
      </c>
      <c r="H157" s="33">
        <f t="shared" si="21"/>
        <v>2717.0063999999998</v>
      </c>
    </row>
    <row r="158" spans="1:8" x14ac:dyDescent="0.25">
      <c r="A158" s="4" t="s">
        <v>479</v>
      </c>
      <c r="B158" s="4" t="s">
        <v>480</v>
      </c>
      <c r="C158" s="5" t="s">
        <v>481</v>
      </c>
      <c r="D158" s="34" t="s">
        <v>164</v>
      </c>
      <c r="E158" s="34" t="s">
        <v>8</v>
      </c>
      <c r="F158" s="34" t="s">
        <v>80</v>
      </c>
      <c r="G158" s="32">
        <v>1000000</v>
      </c>
      <c r="H158" s="33">
        <f t="shared" si="21"/>
        <v>6000000</v>
      </c>
    </row>
    <row r="159" spans="1:8" ht="22.5" x14ac:dyDescent="0.25">
      <c r="A159" s="2" t="s">
        <v>482</v>
      </c>
      <c r="B159" s="2" t="s">
        <v>483</v>
      </c>
      <c r="C159" s="3" t="s">
        <v>484</v>
      </c>
      <c r="D159" s="70" t="s">
        <v>60</v>
      </c>
      <c r="E159" s="116" t="s">
        <v>485</v>
      </c>
      <c r="F159" s="116"/>
      <c r="G159" s="33"/>
      <c r="H159" s="33"/>
    </row>
    <row r="160" spans="1:8" x14ac:dyDescent="0.25">
      <c r="A160" s="4" t="s">
        <v>486</v>
      </c>
      <c r="B160" s="4" t="s">
        <v>34</v>
      </c>
      <c r="C160" s="5" t="s">
        <v>35</v>
      </c>
      <c r="D160" s="34" t="s">
        <v>16</v>
      </c>
      <c r="E160" s="34" t="s">
        <v>487</v>
      </c>
      <c r="F160" s="34" t="s">
        <v>488</v>
      </c>
      <c r="G160" s="33">
        <f>+G154</f>
        <v>26500</v>
      </c>
      <c r="H160" s="33">
        <f t="shared" ref="H160:H166" si="22">G160*F160</f>
        <v>99447.345000000001</v>
      </c>
    </row>
    <row r="161" spans="1:8" x14ac:dyDescent="0.25">
      <c r="A161" s="4" t="s">
        <v>489</v>
      </c>
      <c r="B161" s="4" t="s">
        <v>14</v>
      </c>
      <c r="C161" s="5" t="s">
        <v>15</v>
      </c>
      <c r="D161" s="34" t="s">
        <v>16</v>
      </c>
      <c r="E161" s="34" t="s">
        <v>490</v>
      </c>
      <c r="F161" s="34" t="s">
        <v>491</v>
      </c>
      <c r="G161" s="33">
        <f>+G155</f>
        <v>0</v>
      </c>
      <c r="H161" s="33">
        <f t="shared" si="22"/>
        <v>0</v>
      </c>
    </row>
    <row r="162" spans="1:8" ht="33.75" x14ac:dyDescent="0.25">
      <c r="A162" s="4" t="s">
        <v>492</v>
      </c>
      <c r="B162" s="4" t="s">
        <v>313</v>
      </c>
      <c r="C162" s="5" t="s">
        <v>314</v>
      </c>
      <c r="D162" s="34" t="s">
        <v>21</v>
      </c>
      <c r="E162" s="34" t="s">
        <v>493</v>
      </c>
      <c r="F162" s="34" t="s">
        <v>494</v>
      </c>
      <c r="G162" s="33">
        <f>+G148</f>
        <v>113021</v>
      </c>
      <c r="H162" s="33">
        <f t="shared" si="22"/>
        <v>16020.726749999998</v>
      </c>
    </row>
    <row r="163" spans="1:8" ht="22.5" x14ac:dyDescent="0.25">
      <c r="A163" s="4" t="s">
        <v>495</v>
      </c>
      <c r="B163" s="4" t="s">
        <v>496</v>
      </c>
      <c r="C163" s="5" t="s">
        <v>497</v>
      </c>
      <c r="D163" s="34" t="s">
        <v>21</v>
      </c>
      <c r="E163" s="34" t="s">
        <v>498</v>
      </c>
      <c r="F163" s="34" t="s">
        <v>499</v>
      </c>
      <c r="G163" s="32">
        <v>22300</v>
      </c>
      <c r="H163" s="33">
        <f t="shared" si="22"/>
        <v>15931.566000000001</v>
      </c>
    </row>
    <row r="164" spans="1:8" ht="22.5" x14ac:dyDescent="0.25">
      <c r="A164" s="4" t="s">
        <v>500</v>
      </c>
      <c r="B164" s="4" t="s">
        <v>239</v>
      </c>
      <c r="C164" s="5" t="s">
        <v>190</v>
      </c>
      <c r="D164" s="34" t="s">
        <v>21</v>
      </c>
      <c r="E164" s="34" t="s">
        <v>501</v>
      </c>
      <c r="F164" s="34" t="s">
        <v>502</v>
      </c>
      <c r="G164" s="33">
        <f>+G156</f>
        <v>35000</v>
      </c>
      <c r="H164" s="33">
        <f t="shared" si="22"/>
        <v>7456.05</v>
      </c>
    </row>
    <row r="165" spans="1:8" ht="22.5" x14ac:dyDescent="0.25">
      <c r="A165" s="4" t="s">
        <v>503</v>
      </c>
      <c r="B165" s="4" t="s">
        <v>504</v>
      </c>
      <c r="C165" s="5" t="s">
        <v>505</v>
      </c>
      <c r="D165" s="34" t="s">
        <v>60</v>
      </c>
      <c r="E165" s="34" t="s">
        <v>8</v>
      </c>
      <c r="F165" s="34" t="s">
        <v>485</v>
      </c>
      <c r="G165" s="32">
        <v>8500000</v>
      </c>
      <c r="H165" s="33">
        <f t="shared" si="22"/>
        <v>688500</v>
      </c>
    </row>
    <row r="166" spans="1:8" x14ac:dyDescent="0.25">
      <c r="A166" s="4" t="s">
        <v>506</v>
      </c>
      <c r="B166" s="4" t="s">
        <v>404</v>
      </c>
      <c r="C166" s="5" t="s">
        <v>405</v>
      </c>
      <c r="D166" s="34" t="s">
        <v>60</v>
      </c>
      <c r="E166" s="34" t="s">
        <v>507</v>
      </c>
      <c r="F166" s="34" t="s">
        <v>508</v>
      </c>
      <c r="G166" s="33">
        <f>+G137</f>
        <v>22500000</v>
      </c>
      <c r="H166" s="33">
        <f t="shared" si="22"/>
        <v>12757.5</v>
      </c>
    </row>
    <row r="167" spans="1:8" ht="33.75" x14ac:dyDescent="0.25">
      <c r="A167" s="2" t="s">
        <v>509</v>
      </c>
      <c r="B167" s="2" t="s">
        <v>510</v>
      </c>
      <c r="C167" s="3" t="s">
        <v>511</v>
      </c>
      <c r="D167" s="70" t="s">
        <v>512</v>
      </c>
      <c r="E167" s="116" t="s">
        <v>513</v>
      </c>
      <c r="F167" s="116"/>
      <c r="G167" s="33"/>
      <c r="H167" s="33"/>
    </row>
    <row r="168" spans="1:8" x14ac:dyDescent="0.25">
      <c r="A168" s="4" t="s">
        <v>514</v>
      </c>
      <c r="B168" s="4" t="s">
        <v>34</v>
      </c>
      <c r="C168" s="5" t="s">
        <v>35</v>
      </c>
      <c r="D168" s="34" t="s">
        <v>16</v>
      </c>
      <c r="E168" s="34" t="s">
        <v>515</v>
      </c>
      <c r="F168" s="34" t="s">
        <v>516</v>
      </c>
      <c r="G168" s="33">
        <f>+G160</f>
        <v>26500</v>
      </c>
      <c r="H168" s="33">
        <f t="shared" ref="H168:H170" si="23">G168*F168</f>
        <v>2130600</v>
      </c>
    </row>
    <row r="169" spans="1:8" x14ac:dyDescent="0.25">
      <c r="A169" s="4" t="s">
        <v>517</v>
      </c>
      <c r="B169" s="4" t="s">
        <v>518</v>
      </c>
      <c r="C169" s="5" t="s">
        <v>519</v>
      </c>
      <c r="D169" s="34" t="s">
        <v>21</v>
      </c>
      <c r="E169" s="34" t="s">
        <v>520</v>
      </c>
      <c r="F169" s="34" t="s">
        <v>120</v>
      </c>
      <c r="G169" s="32">
        <v>4000</v>
      </c>
      <c r="H169" s="33">
        <f t="shared" si="23"/>
        <v>960</v>
      </c>
    </row>
    <row r="170" spans="1:8" x14ac:dyDescent="0.25">
      <c r="A170" s="4" t="s">
        <v>521</v>
      </c>
      <c r="B170" s="4" t="s">
        <v>522</v>
      </c>
      <c r="C170" s="5" t="s">
        <v>523</v>
      </c>
      <c r="D170" s="34" t="s">
        <v>524</v>
      </c>
      <c r="E170" s="34" t="s">
        <v>525</v>
      </c>
      <c r="F170" s="34" t="s">
        <v>526</v>
      </c>
      <c r="G170" s="32">
        <v>0</v>
      </c>
      <c r="H170" s="33">
        <f t="shared" si="23"/>
        <v>0</v>
      </c>
    </row>
    <row r="171" spans="1:8" x14ac:dyDescent="0.25">
      <c r="A171" s="2" t="s">
        <v>527</v>
      </c>
      <c r="B171" s="2" t="s">
        <v>528</v>
      </c>
      <c r="C171" s="3" t="s">
        <v>529</v>
      </c>
      <c r="D171" s="70" t="s">
        <v>530</v>
      </c>
      <c r="E171" s="116" t="s">
        <v>531</v>
      </c>
      <c r="F171" s="116"/>
      <c r="G171" s="33"/>
      <c r="H171" s="33"/>
    </row>
    <row r="172" spans="1:8" x14ac:dyDescent="0.25">
      <c r="A172" s="4" t="s">
        <v>532</v>
      </c>
      <c r="B172" s="4" t="s">
        <v>34</v>
      </c>
      <c r="C172" s="5" t="s">
        <v>35</v>
      </c>
      <c r="D172" s="34" t="s">
        <v>16</v>
      </c>
      <c r="E172" s="34" t="s">
        <v>533</v>
      </c>
      <c r="F172" s="34" t="s">
        <v>534</v>
      </c>
      <c r="G172" s="33">
        <f>+G168</f>
        <v>26500</v>
      </c>
      <c r="H172" s="33">
        <f t="shared" ref="H172:H179" si="24">G172*F172</f>
        <v>4595.1000000000004</v>
      </c>
    </row>
    <row r="173" spans="1:8" x14ac:dyDescent="0.25">
      <c r="A173" s="4" t="s">
        <v>535</v>
      </c>
      <c r="B173" s="4" t="s">
        <v>14</v>
      </c>
      <c r="C173" s="5" t="s">
        <v>15</v>
      </c>
      <c r="D173" s="34" t="s">
        <v>16</v>
      </c>
      <c r="E173" s="34" t="s">
        <v>536</v>
      </c>
      <c r="F173" s="34" t="s">
        <v>537</v>
      </c>
      <c r="G173" s="33">
        <f>+G161</f>
        <v>0</v>
      </c>
      <c r="H173" s="33">
        <f t="shared" si="24"/>
        <v>0</v>
      </c>
    </row>
    <row r="174" spans="1:8" ht="22.5" x14ac:dyDescent="0.25">
      <c r="A174" s="4" t="s">
        <v>538</v>
      </c>
      <c r="B174" s="4" t="s">
        <v>539</v>
      </c>
      <c r="C174" s="5" t="s">
        <v>540</v>
      </c>
      <c r="D174" s="34" t="s">
        <v>21</v>
      </c>
      <c r="E174" s="34" t="s">
        <v>541</v>
      </c>
      <c r="F174" s="34" t="s">
        <v>542</v>
      </c>
      <c r="G174" s="33">
        <f>+G162</f>
        <v>113021</v>
      </c>
      <c r="H174" s="33">
        <f t="shared" si="24"/>
        <v>1118.9079000000002</v>
      </c>
    </row>
    <row r="175" spans="1:8" x14ac:dyDescent="0.25">
      <c r="A175" s="4" t="s">
        <v>543</v>
      </c>
      <c r="B175" s="4" t="s">
        <v>544</v>
      </c>
      <c r="C175" s="5" t="s">
        <v>545</v>
      </c>
      <c r="D175" s="34" t="s">
        <v>21</v>
      </c>
      <c r="E175" s="34" t="s">
        <v>546</v>
      </c>
      <c r="F175" s="34" t="s">
        <v>547</v>
      </c>
      <c r="G175" s="35">
        <f>+G169</f>
        <v>4000</v>
      </c>
      <c r="H175" s="33">
        <f t="shared" si="24"/>
        <v>216</v>
      </c>
    </row>
    <row r="176" spans="1:8" x14ac:dyDescent="0.25">
      <c r="A176" s="4" t="s">
        <v>548</v>
      </c>
      <c r="B176" s="4" t="s">
        <v>549</v>
      </c>
      <c r="C176" s="5" t="s">
        <v>550</v>
      </c>
      <c r="D176" s="34" t="s">
        <v>21</v>
      </c>
      <c r="E176" s="34" t="s">
        <v>551</v>
      </c>
      <c r="F176" s="34" t="s">
        <v>552</v>
      </c>
      <c r="G176" s="32">
        <v>0</v>
      </c>
      <c r="H176" s="33">
        <f t="shared" si="24"/>
        <v>0</v>
      </c>
    </row>
    <row r="177" spans="1:8" ht="22.5" x14ac:dyDescent="0.25">
      <c r="A177" s="4" t="s">
        <v>553</v>
      </c>
      <c r="B177" s="4" t="s">
        <v>239</v>
      </c>
      <c r="C177" s="5" t="s">
        <v>190</v>
      </c>
      <c r="D177" s="34" t="s">
        <v>21</v>
      </c>
      <c r="E177" s="34" t="s">
        <v>554</v>
      </c>
      <c r="F177" s="34" t="s">
        <v>555</v>
      </c>
      <c r="G177" s="33">
        <f>+G164</f>
        <v>35000</v>
      </c>
      <c r="H177" s="33">
        <f t="shared" si="24"/>
        <v>525</v>
      </c>
    </row>
    <row r="178" spans="1:8" ht="22.5" x14ac:dyDescent="0.25">
      <c r="A178" s="4" t="s">
        <v>556</v>
      </c>
      <c r="B178" s="4" t="s">
        <v>557</v>
      </c>
      <c r="C178" s="5" t="s">
        <v>558</v>
      </c>
      <c r="D178" s="34" t="s">
        <v>60</v>
      </c>
      <c r="E178" s="34" t="s">
        <v>559</v>
      </c>
      <c r="F178" s="34" t="s">
        <v>560</v>
      </c>
      <c r="G178" s="32">
        <v>4500000</v>
      </c>
      <c r="H178" s="33">
        <f t="shared" si="24"/>
        <v>43199.999999999993</v>
      </c>
    </row>
    <row r="179" spans="1:8" x14ac:dyDescent="0.25">
      <c r="A179" s="4" t="s">
        <v>561</v>
      </c>
      <c r="B179" s="4" t="s">
        <v>562</v>
      </c>
      <c r="C179" s="5" t="s">
        <v>563</v>
      </c>
      <c r="D179" s="34" t="s">
        <v>60</v>
      </c>
      <c r="E179" s="34" t="s">
        <v>564</v>
      </c>
      <c r="F179" s="34" t="s">
        <v>565</v>
      </c>
      <c r="G179" s="32">
        <v>1500000</v>
      </c>
      <c r="H179" s="33">
        <f t="shared" si="24"/>
        <v>32400</v>
      </c>
    </row>
    <row r="180" spans="1:8" x14ac:dyDescent="0.25">
      <c r="A180" s="2" t="s">
        <v>566</v>
      </c>
      <c r="B180" s="2" t="s">
        <v>567</v>
      </c>
      <c r="C180" s="3" t="s">
        <v>568</v>
      </c>
      <c r="D180" s="70" t="s">
        <v>530</v>
      </c>
      <c r="E180" s="116" t="s">
        <v>569</v>
      </c>
      <c r="F180" s="116"/>
      <c r="G180" s="33"/>
      <c r="H180" s="33"/>
    </row>
    <row r="181" spans="1:8" x14ac:dyDescent="0.25">
      <c r="A181" s="4" t="s">
        <v>570</v>
      </c>
      <c r="B181" s="4" t="s">
        <v>34</v>
      </c>
      <c r="C181" s="5" t="s">
        <v>35</v>
      </c>
      <c r="D181" s="34" t="s">
        <v>16</v>
      </c>
      <c r="E181" s="34" t="s">
        <v>571</v>
      </c>
      <c r="F181" s="34" t="s">
        <v>572</v>
      </c>
      <c r="G181" s="33">
        <f t="shared" ref="G181:G188" si="25">+G172</f>
        <v>26500</v>
      </c>
      <c r="H181" s="33">
        <f t="shared" ref="H181:H188" si="26">G181*F181</f>
        <v>133329.44999999998</v>
      </c>
    </row>
    <row r="182" spans="1:8" x14ac:dyDescent="0.25">
      <c r="A182" s="4" t="s">
        <v>573</v>
      </c>
      <c r="B182" s="4" t="s">
        <v>14</v>
      </c>
      <c r="C182" s="5" t="s">
        <v>15</v>
      </c>
      <c r="D182" s="34" t="s">
        <v>16</v>
      </c>
      <c r="E182" s="34" t="s">
        <v>574</v>
      </c>
      <c r="F182" s="34" t="s">
        <v>575</v>
      </c>
      <c r="G182" s="33">
        <f t="shared" si="25"/>
        <v>0</v>
      </c>
      <c r="H182" s="33">
        <f t="shared" si="26"/>
        <v>0</v>
      </c>
    </row>
    <row r="183" spans="1:8" ht="22.5" x14ac:dyDescent="0.25">
      <c r="A183" s="4" t="s">
        <v>576</v>
      </c>
      <c r="B183" s="4" t="s">
        <v>539</v>
      </c>
      <c r="C183" s="5" t="s">
        <v>540</v>
      </c>
      <c r="D183" s="34" t="s">
        <v>21</v>
      </c>
      <c r="E183" s="34" t="s">
        <v>541</v>
      </c>
      <c r="F183" s="34" t="s">
        <v>577</v>
      </c>
      <c r="G183" s="33">
        <f t="shared" si="25"/>
        <v>113021</v>
      </c>
      <c r="H183" s="33">
        <f t="shared" si="26"/>
        <v>17343.07245</v>
      </c>
    </row>
    <row r="184" spans="1:8" x14ac:dyDescent="0.25">
      <c r="A184" s="4" t="s">
        <v>578</v>
      </c>
      <c r="B184" s="4" t="s">
        <v>544</v>
      </c>
      <c r="C184" s="5" t="s">
        <v>545</v>
      </c>
      <c r="D184" s="34" t="s">
        <v>21</v>
      </c>
      <c r="E184" s="34" t="s">
        <v>579</v>
      </c>
      <c r="F184" s="34" t="s">
        <v>580</v>
      </c>
      <c r="G184" s="33">
        <f t="shared" si="25"/>
        <v>4000</v>
      </c>
      <c r="H184" s="33">
        <f t="shared" si="26"/>
        <v>7793.4000000000005</v>
      </c>
    </row>
    <row r="185" spans="1:8" x14ac:dyDescent="0.25">
      <c r="A185" s="4" t="s">
        <v>581</v>
      </c>
      <c r="B185" s="4" t="s">
        <v>549</v>
      </c>
      <c r="C185" s="5" t="s">
        <v>550</v>
      </c>
      <c r="D185" s="34" t="s">
        <v>21</v>
      </c>
      <c r="E185" s="34" t="s">
        <v>582</v>
      </c>
      <c r="F185" s="34" t="s">
        <v>583</v>
      </c>
      <c r="G185" s="33">
        <f t="shared" si="25"/>
        <v>0</v>
      </c>
      <c r="H185" s="33">
        <f t="shared" si="26"/>
        <v>0</v>
      </c>
    </row>
    <row r="186" spans="1:8" ht="22.5" x14ac:dyDescent="0.25">
      <c r="A186" s="4" t="s">
        <v>584</v>
      </c>
      <c r="B186" s="4" t="s">
        <v>239</v>
      </c>
      <c r="C186" s="5" t="s">
        <v>190</v>
      </c>
      <c r="D186" s="34" t="s">
        <v>21</v>
      </c>
      <c r="E186" s="34" t="s">
        <v>554</v>
      </c>
      <c r="F186" s="34" t="s">
        <v>585</v>
      </c>
      <c r="G186" s="33">
        <f t="shared" si="25"/>
        <v>35000</v>
      </c>
      <c r="H186" s="33">
        <f t="shared" si="26"/>
        <v>8137.5</v>
      </c>
    </row>
    <row r="187" spans="1:8" ht="22.5" x14ac:dyDescent="0.25">
      <c r="A187" s="4" t="s">
        <v>586</v>
      </c>
      <c r="B187" s="4" t="s">
        <v>557</v>
      </c>
      <c r="C187" s="5" t="s">
        <v>558</v>
      </c>
      <c r="D187" s="34" t="s">
        <v>60</v>
      </c>
      <c r="E187" s="34" t="s">
        <v>587</v>
      </c>
      <c r="F187" s="34" t="s">
        <v>588</v>
      </c>
      <c r="G187" s="33">
        <f t="shared" si="25"/>
        <v>4500000</v>
      </c>
      <c r="H187" s="33">
        <f t="shared" si="26"/>
        <v>1548450</v>
      </c>
    </row>
    <row r="188" spans="1:8" x14ac:dyDescent="0.25">
      <c r="A188" s="4" t="s">
        <v>589</v>
      </c>
      <c r="B188" s="4" t="s">
        <v>562</v>
      </c>
      <c r="C188" s="5" t="s">
        <v>563</v>
      </c>
      <c r="D188" s="34" t="s">
        <v>60</v>
      </c>
      <c r="E188" s="34" t="s">
        <v>590</v>
      </c>
      <c r="F188" s="34" t="s">
        <v>591</v>
      </c>
      <c r="G188" s="33">
        <f t="shared" si="25"/>
        <v>1500000</v>
      </c>
      <c r="H188" s="33">
        <f t="shared" si="26"/>
        <v>216225</v>
      </c>
    </row>
    <row r="189" spans="1:8" ht="30.75" customHeight="1" x14ac:dyDescent="0.25">
      <c r="A189" s="6"/>
      <c r="B189" s="121" t="s">
        <v>755</v>
      </c>
      <c r="C189" s="121"/>
      <c r="D189" s="121"/>
      <c r="E189" s="36"/>
      <c r="F189" s="36"/>
      <c r="G189" s="33"/>
      <c r="H189" s="33"/>
    </row>
    <row r="190" spans="1:8" ht="15" customHeight="1" x14ac:dyDescent="0.25">
      <c r="A190" s="62" t="s">
        <v>592</v>
      </c>
      <c r="B190" s="63"/>
      <c r="C190" s="62" t="s">
        <v>592</v>
      </c>
      <c r="D190" s="74"/>
      <c r="E190" s="63"/>
      <c r="F190" s="64"/>
      <c r="G190" s="33"/>
      <c r="H190" s="33">
        <f>G190*F190</f>
        <v>0</v>
      </c>
    </row>
    <row r="191" spans="1:8" ht="56.25" x14ac:dyDescent="0.25">
      <c r="A191" s="7" t="s">
        <v>8</v>
      </c>
      <c r="B191" s="7" t="s">
        <v>593</v>
      </c>
      <c r="C191" s="8" t="s">
        <v>594</v>
      </c>
      <c r="D191" s="71" t="s">
        <v>11</v>
      </c>
      <c r="E191" s="120" t="s">
        <v>595</v>
      </c>
      <c r="F191" s="120"/>
      <c r="G191" s="33"/>
      <c r="H191" s="33"/>
    </row>
    <row r="192" spans="1:8" ht="22.5" x14ac:dyDescent="0.25">
      <c r="A192" s="9" t="s">
        <v>13</v>
      </c>
      <c r="B192" s="9" t="s">
        <v>14</v>
      </c>
      <c r="C192" s="10" t="s">
        <v>15</v>
      </c>
      <c r="D192" s="37" t="s">
        <v>16</v>
      </c>
      <c r="E192" s="37" t="s">
        <v>596</v>
      </c>
      <c r="F192" s="37">
        <v>293.81913668800001</v>
      </c>
      <c r="G192" s="33">
        <f>+G182</f>
        <v>0</v>
      </c>
      <c r="H192" s="33">
        <f t="shared" ref="H192:H193" si="27">G192*F192</f>
        <v>0</v>
      </c>
    </row>
    <row r="193" spans="1:8" ht="33.75" x14ac:dyDescent="0.25">
      <c r="A193" s="9" t="s">
        <v>18</v>
      </c>
      <c r="B193" s="9" t="s">
        <v>19</v>
      </c>
      <c r="C193" s="10" t="s">
        <v>20</v>
      </c>
      <c r="D193" s="37" t="s">
        <v>21</v>
      </c>
      <c r="E193" s="37" t="s">
        <v>596</v>
      </c>
      <c r="F193" s="37" t="s">
        <v>597</v>
      </c>
      <c r="G193" s="33">
        <f>+G108</f>
        <v>162930</v>
      </c>
      <c r="H193" s="33">
        <f t="shared" si="27"/>
        <v>47871951.940575846</v>
      </c>
    </row>
    <row r="194" spans="1:8" ht="33.75" x14ac:dyDescent="0.25">
      <c r="A194" s="7" t="s">
        <v>23</v>
      </c>
      <c r="B194" s="7" t="s">
        <v>598</v>
      </c>
      <c r="C194" s="8" t="s">
        <v>599</v>
      </c>
      <c r="D194" s="71" t="s">
        <v>11</v>
      </c>
      <c r="E194" s="120" t="s">
        <v>595</v>
      </c>
      <c r="F194" s="120"/>
      <c r="G194" s="33"/>
      <c r="H194" s="33"/>
    </row>
    <row r="195" spans="1:8" ht="22.5" x14ac:dyDescent="0.25">
      <c r="A195" s="9" t="s">
        <v>26</v>
      </c>
      <c r="B195" s="9" t="s">
        <v>14</v>
      </c>
      <c r="C195" s="10" t="s">
        <v>15</v>
      </c>
      <c r="D195" s="37" t="s">
        <v>16</v>
      </c>
      <c r="E195" s="37" t="s">
        <v>600</v>
      </c>
      <c r="F195" s="37" t="s">
        <v>601</v>
      </c>
      <c r="G195" s="33">
        <f>+G192</f>
        <v>0</v>
      </c>
      <c r="H195" s="33">
        <f t="shared" ref="H195:H196" si="28">G195*F195</f>
        <v>0</v>
      </c>
    </row>
    <row r="196" spans="1:8" ht="33.75" x14ac:dyDescent="0.25">
      <c r="A196" s="9" t="s">
        <v>29</v>
      </c>
      <c r="B196" s="9" t="s">
        <v>19</v>
      </c>
      <c r="C196" s="10" t="s">
        <v>20</v>
      </c>
      <c r="D196" s="37" t="s">
        <v>21</v>
      </c>
      <c r="E196" s="37" t="s">
        <v>600</v>
      </c>
      <c r="F196" s="37" t="s">
        <v>601</v>
      </c>
      <c r="G196" s="33">
        <f>+G193</f>
        <v>162930</v>
      </c>
      <c r="H196" s="33">
        <f t="shared" si="28"/>
        <v>189886601.82260999</v>
      </c>
    </row>
    <row r="197" spans="1:8" ht="22.5" x14ac:dyDescent="0.25">
      <c r="A197" s="7" t="s">
        <v>30</v>
      </c>
      <c r="B197" s="7" t="s">
        <v>602</v>
      </c>
      <c r="C197" s="8" t="s">
        <v>603</v>
      </c>
      <c r="D197" s="71" t="s">
        <v>604</v>
      </c>
      <c r="E197" s="120" t="s">
        <v>605</v>
      </c>
      <c r="F197" s="120"/>
      <c r="G197" s="33"/>
      <c r="H197" s="33"/>
    </row>
    <row r="198" spans="1:8" x14ac:dyDescent="0.25">
      <c r="A198" s="9" t="s">
        <v>33</v>
      </c>
      <c r="B198" s="9" t="s">
        <v>14</v>
      </c>
      <c r="C198" s="10" t="s">
        <v>15</v>
      </c>
      <c r="D198" s="37" t="s">
        <v>16</v>
      </c>
      <c r="E198" s="37" t="s">
        <v>226</v>
      </c>
      <c r="F198" s="37" t="s">
        <v>606</v>
      </c>
      <c r="G198" s="33">
        <f>+G195</f>
        <v>0</v>
      </c>
      <c r="H198" s="33">
        <f t="shared" ref="H198:H199" si="29">G198*F198</f>
        <v>0</v>
      </c>
    </row>
    <row r="199" spans="1:8" ht="33.75" x14ac:dyDescent="0.25">
      <c r="A199" s="9" t="s">
        <v>38</v>
      </c>
      <c r="B199" s="9" t="s">
        <v>42</v>
      </c>
      <c r="C199" s="10" t="s">
        <v>43</v>
      </c>
      <c r="D199" s="37" t="s">
        <v>21</v>
      </c>
      <c r="E199" s="37" t="s">
        <v>226</v>
      </c>
      <c r="F199" s="37" t="s">
        <v>606</v>
      </c>
      <c r="G199" s="33">
        <f>+G93</f>
        <v>162930</v>
      </c>
      <c r="H199" s="33">
        <f t="shared" si="29"/>
        <v>2332732.3527000002</v>
      </c>
    </row>
    <row r="200" spans="1:8" ht="56.25" x14ac:dyDescent="0.25">
      <c r="A200" s="7" t="s">
        <v>57</v>
      </c>
      <c r="B200" s="7" t="s">
        <v>9</v>
      </c>
      <c r="C200" s="8" t="s">
        <v>10</v>
      </c>
      <c r="D200" s="71" t="s">
        <v>11</v>
      </c>
      <c r="E200" s="120" t="s">
        <v>607</v>
      </c>
      <c r="F200" s="120"/>
      <c r="G200" s="33"/>
      <c r="H200" s="33"/>
    </row>
    <row r="201" spans="1:8" ht="22.5" x14ac:dyDescent="0.25">
      <c r="A201" s="9" t="s">
        <v>62</v>
      </c>
      <c r="B201" s="9" t="s">
        <v>14</v>
      </c>
      <c r="C201" s="10" t="s">
        <v>15</v>
      </c>
      <c r="D201" s="37" t="s">
        <v>16</v>
      </c>
      <c r="E201" s="37" t="s">
        <v>17</v>
      </c>
      <c r="F201" s="37" t="s">
        <v>608</v>
      </c>
      <c r="G201" s="33">
        <f>+G198</f>
        <v>0</v>
      </c>
      <c r="H201" s="33">
        <f t="shared" ref="H201:H202" si="30">G201*F201</f>
        <v>0</v>
      </c>
    </row>
    <row r="202" spans="1:8" ht="33.75" x14ac:dyDescent="0.25">
      <c r="A202" s="9" t="s">
        <v>65</v>
      </c>
      <c r="B202" s="9" t="s">
        <v>19</v>
      </c>
      <c r="C202" s="10" t="s">
        <v>20</v>
      </c>
      <c r="D202" s="37" t="s">
        <v>21</v>
      </c>
      <c r="E202" s="37" t="s">
        <v>17</v>
      </c>
      <c r="F202" s="37" t="s">
        <v>608</v>
      </c>
      <c r="G202" s="33">
        <f>+G196</f>
        <v>162930</v>
      </c>
      <c r="H202" s="33">
        <f t="shared" si="30"/>
        <v>42676294.003200002</v>
      </c>
    </row>
    <row r="203" spans="1:8" ht="56.25" x14ac:dyDescent="0.25">
      <c r="A203" s="7" t="s">
        <v>68</v>
      </c>
      <c r="B203" s="7" t="s">
        <v>609</v>
      </c>
      <c r="C203" s="8" t="s">
        <v>610</v>
      </c>
      <c r="D203" s="71" t="s">
        <v>11</v>
      </c>
      <c r="E203" s="120" t="s">
        <v>611</v>
      </c>
      <c r="F203" s="120"/>
      <c r="G203" s="33"/>
      <c r="H203" s="33"/>
    </row>
    <row r="204" spans="1:8" ht="22.5" x14ac:dyDescent="0.25">
      <c r="A204" s="9" t="s">
        <v>71</v>
      </c>
      <c r="B204" s="9" t="s">
        <v>34</v>
      </c>
      <c r="C204" s="10" t="s">
        <v>35</v>
      </c>
      <c r="D204" s="37" t="s">
        <v>16</v>
      </c>
      <c r="E204" s="37" t="s">
        <v>612</v>
      </c>
      <c r="F204" s="37" t="s">
        <v>613</v>
      </c>
      <c r="G204" s="33">
        <f>+G181</f>
        <v>26500</v>
      </c>
      <c r="H204" s="33">
        <f t="shared" ref="H204:H208" si="31">G204*F204</f>
        <v>42199218.934</v>
      </c>
    </row>
    <row r="205" spans="1:8" ht="22.5" x14ac:dyDescent="0.25">
      <c r="A205" s="9" t="s">
        <v>74</v>
      </c>
      <c r="B205" s="9" t="s">
        <v>14</v>
      </c>
      <c r="C205" s="10" t="s">
        <v>15</v>
      </c>
      <c r="D205" s="37" t="s">
        <v>16</v>
      </c>
      <c r="E205" s="37" t="s">
        <v>614</v>
      </c>
      <c r="F205" s="37" t="s">
        <v>615</v>
      </c>
      <c r="G205" s="33">
        <f>+G201</f>
        <v>0</v>
      </c>
      <c r="H205" s="33">
        <f t="shared" si="31"/>
        <v>0</v>
      </c>
    </row>
    <row r="206" spans="1:8" ht="33.75" x14ac:dyDescent="0.25">
      <c r="A206" s="9" t="s">
        <v>77</v>
      </c>
      <c r="B206" s="9" t="s">
        <v>42</v>
      </c>
      <c r="C206" s="10" t="s">
        <v>43</v>
      </c>
      <c r="D206" s="37" t="s">
        <v>21</v>
      </c>
      <c r="E206" s="37" t="s">
        <v>616</v>
      </c>
      <c r="F206" s="37" t="s">
        <v>617</v>
      </c>
      <c r="G206" s="33">
        <f>+G199</f>
        <v>162930</v>
      </c>
      <c r="H206" s="33">
        <f t="shared" si="31"/>
        <v>173559362.89776</v>
      </c>
    </row>
    <row r="207" spans="1:8" ht="33.75" x14ac:dyDescent="0.25">
      <c r="A207" s="9" t="s">
        <v>618</v>
      </c>
      <c r="B207" s="9" t="s">
        <v>619</v>
      </c>
      <c r="C207" s="10" t="s">
        <v>620</v>
      </c>
      <c r="D207" s="37" t="s">
        <v>21</v>
      </c>
      <c r="E207" s="37" t="s">
        <v>621</v>
      </c>
      <c r="F207" s="37" t="s">
        <v>622</v>
      </c>
      <c r="G207" s="33">
        <f>+G94</f>
        <v>314602</v>
      </c>
      <c r="H207" s="33">
        <f t="shared" si="31"/>
        <v>1080611228.3658881</v>
      </c>
    </row>
    <row r="208" spans="1:8" ht="22.5" x14ac:dyDescent="0.25">
      <c r="A208" s="9" t="s">
        <v>623</v>
      </c>
      <c r="B208" s="9" t="s">
        <v>52</v>
      </c>
      <c r="C208" s="10" t="s">
        <v>53</v>
      </c>
      <c r="D208" s="37" t="s">
        <v>54</v>
      </c>
      <c r="E208" s="37" t="s">
        <v>97</v>
      </c>
      <c r="F208" s="37" t="s">
        <v>624</v>
      </c>
      <c r="G208" s="33">
        <f>+G102</f>
        <v>50000</v>
      </c>
      <c r="H208" s="33">
        <f t="shared" si="31"/>
        <v>1630467.6</v>
      </c>
    </row>
    <row r="209" spans="1:8" ht="45" x14ac:dyDescent="0.25">
      <c r="A209" s="7" t="s">
        <v>80</v>
      </c>
      <c r="B209" s="7" t="s">
        <v>625</v>
      </c>
      <c r="C209" s="8" t="s">
        <v>626</v>
      </c>
      <c r="D209" s="71" t="s">
        <v>11</v>
      </c>
      <c r="E209" s="120" t="s">
        <v>627</v>
      </c>
      <c r="F209" s="120"/>
      <c r="G209" s="33"/>
      <c r="H209" s="33"/>
    </row>
    <row r="210" spans="1:8" ht="22.5" x14ac:dyDescent="0.25">
      <c r="A210" s="9" t="s">
        <v>84</v>
      </c>
      <c r="B210" s="9" t="s">
        <v>34</v>
      </c>
      <c r="C210" s="10" t="s">
        <v>35</v>
      </c>
      <c r="D210" s="37" t="s">
        <v>16</v>
      </c>
      <c r="E210" s="37" t="s">
        <v>628</v>
      </c>
      <c r="F210" s="37" t="s">
        <v>629</v>
      </c>
      <c r="G210" s="33">
        <f>+G204</f>
        <v>26500</v>
      </c>
      <c r="H210" s="33">
        <f t="shared" ref="H210:H212" si="32">G210*F210</f>
        <v>4314415.6570000006</v>
      </c>
    </row>
    <row r="211" spans="1:8" ht="22.5" x14ac:dyDescent="0.25">
      <c r="A211" s="9" t="s">
        <v>87</v>
      </c>
      <c r="B211" s="9" t="s">
        <v>14</v>
      </c>
      <c r="C211" s="10" t="s">
        <v>15</v>
      </c>
      <c r="D211" s="37" t="s">
        <v>16</v>
      </c>
      <c r="E211" s="37" t="s">
        <v>630</v>
      </c>
      <c r="F211" s="37" t="s">
        <v>631</v>
      </c>
      <c r="G211" s="33">
        <f>+G205</f>
        <v>0</v>
      </c>
      <c r="H211" s="33">
        <f t="shared" si="32"/>
        <v>0</v>
      </c>
    </row>
    <row r="212" spans="1:8" ht="33.75" x14ac:dyDescent="0.25">
      <c r="A212" s="9" t="s">
        <v>90</v>
      </c>
      <c r="B212" s="9" t="s">
        <v>619</v>
      </c>
      <c r="C212" s="10" t="s">
        <v>620</v>
      </c>
      <c r="D212" s="37" t="s">
        <v>21</v>
      </c>
      <c r="E212" s="37" t="s">
        <v>632</v>
      </c>
      <c r="F212" s="37" t="s">
        <v>633</v>
      </c>
      <c r="G212" s="33">
        <f>+G207</f>
        <v>314602</v>
      </c>
      <c r="H212" s="33">
        <f t="shared" si="32"/>
        <v>108051258.994242</v>
      </c>
    </row>
    <row r="213" spans="1:8" ht="56.25" x14ac:dyDescent="0.25">
      <c r="A213" s="7" t="s">
        <v>99</v>
      </c>
      <c r="B213" s="7" t="s">
        <v>9</v>
      </c>
      <c r="C213" s="8" t="s">
        <v>10</v>
      </c>
      <c r="D213" s="71" t="s">
        <v>11</v>
      </c>
      <c r="E213" s="120" t="s">
        <v>627</v>
      </c>
      <c r="F213" s="120"/>
      <c r="G213" s="33"/>
      <c r="H213" s="33"/>
    </row>
    <row r="214" spans="1:8" ht="22.5" x14ac:dyDescent="0.25">
      <c r="A214" s="9" t="s">
        <v>101</v>
      </c>
      <c r="B214" s="9" t="s">
        <v>14</v>
      </c>
      <c r="C214" s="10" t="s">
        <v>15</v>
      </c>
      <c r="D214" s="37" t="s">
        <v>16</v>
      </c>
      <c r="E214" s="37" t="s">
        <v>17</v>
      </c>
      <c r="F214" s="37" t="s">
        <v>634</v>
      </c>
      <c r="G214" s="33">
        <f>+G211</f>
        <v>0</v>
      </c>
      <c r="H214" s="33">
        <f t="shared" ref="H214:H215" si="33">G214*F214</f>
        <v>0</v>
      </c>
    </row>
    <row r="215" spans="1:8" ht="33.75" x14ac:dyDescent="0.25">
      <c r="A215" s="9" t="s">
        <v>103</v>
      </c>
      <c r="B215" s="9" t="s">
        <v>19</v>
      </c>
      <c r="C215" s="10" t="s">
        <v>20</v>
      </c>
      <c r="D215" s="37" t="s">
        <v>21</v>
      </c>
      <c r="E215" s="37" t="s">
        <v>17</v>
      </c>
      <c r="F215" s="37" t="s">
        <v>634</v>
      </c>
      <c r="G215" s="33">
        <f>+G202</f>
        <v>162930</v>
      </c>
      <c r="H215" s="33">
        <f t="shared" si="33"/>
        <v>61612949.585220002</v>
      </c>
    </row>
    <row r="216" spans="1:8" ht="67.5" x14ac:dyDescent="0.25">
      <c r="A216" s="7" t="s">
        <v>104</v>
      </c>
      <c r="B216" s="7" t="s">
        <v>105</v>
      </c>
      <c r="C216" s="8" t="s">
        <v>106</v>
      </c>
      <c r="D216" s="71" t="s">
        <v>107</v>
      </c>
      <c r="E216" s="120" t="s">
        <v>635</v>
      </c>
      <c r="F216" s="120"/>
      <c r="G216" s="33"/>
      <c r="H216" s="33"/>
    </row>
    <row r="217" spans="1:8" ht="22.5" x14ac:dyDescent="0.25">
      <c r="A217" s="9" t="s">
        <v>109</v>
      </c>
      <c r="B217" s="9" t="s">
        <v>34</v>
      </c>
      <c r="C217" s="10" t="s">
        <v>35</v>
      </c>
      <c r="D217" s="37" t="s">
        <v>16</v>
      </c>
      <c r="E217" s="37" t="s">
        <v>110</v>
      </c>
      <c r="F217" s="37" t="s">
        <v>636</v>
      </c>
      <c r="G217" s="33">
        <f>+G210</f>
        <v>26500</v>
      </c>
      <c r="H217" s="33">
        <f>G217*F217</f>
        <v>150465980.28</v>
      </c>
    </row>
    <row r="218" spans="1:8" ht="45" x14ac:dyDescent="0.25">
      <c r="A218" s="7" t="s">
        <v>112</v>
      </c>
      <c r="B218" s="7" t="s">
        <v>58</v>
      </c>
      <c r="C218" s="8" t="s">
        <v>59</v>
      </c>
      <c r="D218" s="71" t="s">
        <v>60</v>
      </c>
      <c r="E218" s="120" t="s">
        <v>637</v>
      </c>
      <c r="F218" s="120"/>
      <c r="G218" s="33"/>
      <c r="H218" s="33"/>
    </row>
    <row r="219" spans="1:8" ht="22.5" x14ac:dyDescent="0.25">
      <c r="A219" s="9" t="s">
        <v>115</v>
      </c>
      <c r="B219" s="9" t="s">
        <v>14</v>
      </c>
      <c r="C219" s="10" t="s">
        <v>15</v>
      </c>
      <c r="D219" s="37" t="s">
        <v>16</v>
      </c>
      <c r="E219" s="37" t="s">
        <v>63</v>
      </c>
      <c r="F219" s="37" t="s">
        <v>638</v>
      </c>
      <c r="G219" s="33">
        <f>+G214</f>
        <v>0</v>
      </c>
      <c r="H219" s="33">
        <f t="shared" ref="H219:H220" si="34">G219*F219</f>
        <v>0</v>
      </c>
    </row>
    <row r="220" spans="1:8" ht="22.5" x14ac:dyDescent="0.25">
      <c r="A220" s="9" t="s">
        <v>118</v>
      </c>
      <c r="B220" s="9" t="s">
        <v>66</v>
      </c>
      <c r="C220" s="10" t="s">
        <v>67</v>
      </c>
      <c r="D220" s="37" t="s">
        <v>21</v>
      </c>
      <c r="E220" s="37" t="s">
        <v>63</v>
      </c>
      <c r="F220" s="37" t="s">
        <v>638</v>
      </c>
      <c r="G220" s="33">
        <f>+G98</f>
        <v>105005</v>
      </c>
      <c r="H220" s="33">
        <f t="shared" si="34"/>
        <v>588359422.69488156</v>
      </c>
    </row>
    <row r="221" spans="1:8" ht="33.75" x14ac:dyDescent="0.25">
      <c r="A221" s="7" t="s">
        <v>122</v>
      </c>
      <c r="B221" s="7" t="s">
        <v>639</v>
      </c>
      <c r="C221" s="8" t="s">
        <v>640</v>
      </c>
      <c r="D221" s="71" t="s">
        <v>11</v>
      </c>
      <c r="E221" s="120" t="s">
        <v>611</v>
      </c>
      <c r="F221" s="120"/>
      <c r="G221" s="33"/>
      <c r="H221" s="33"/>
    </row>
    <row r="222" spans="1:8" ht="22.5" x14ac:dyDescent="0.25">
      <c r="A222" s="9" t="s">
        <v>125</v>
      </c>
      <c r="B222" s="9" t="s">
        <v>14</v>
      </c>
      <c r="C222" s="10" t="s">
        <v>15</v>
      </c>
      <c r="D222" s="37" t="s">
        <v>16</v>
      </c>
      <c r="E222" s="37" t="s">
        <v>641</v>
      </c>
      <c r="F222" s="37" t="s">
        <v>642</v>
      </c>
      <c r="G222" s="33">
        <f>+G219</f>
        <v>0</v>
      </c>
      <c r="H222" s="33">
        <f t="shared" ref="H222:H224" si="35">G222*F222</f>
        <v>0</v>
      </c>
    </row>
    <row r="223" spans="1:8" ht="22.5" x14ac:dyDescent="0.25">
      <c r="A223" s="9" t="s">
        <v>128</v>
      </c>
      <c r="B223" s="9" t="s">
        <v>75</v>
      </c>
      <c r="C223" s="10" t="s">
        <v>76</v>
      </c>
      <c r="D223" s="37" t="s">
        <v>21</v>
      </c>
      <c r="E223" s="37" t="s">
        <v>641</v>
      </c>
      <c r="F223" s="37" t="s">
        <v>642</v>
      </c>
      <c r="G223" s="33">
        <f>+G101</f>
        <v>148642</v>
      </c>
      <c r="H223" s="33">
        <f t="shared" si="35"/>
        <v>43220147.091524005</v>
      </c>
    </row>
    <row r="224" spans="1:8" ht="22.5" x14ac:dyDescent="0.25">
      <c r="A224" s="9" t="s">
        <v>131</v>
      </c>
      <c r="B224" s="9" t="s">
        <v>52</v>
      </c>
      <c r="C224" s="10" t="s">
        <v>53</v>
      </c>
      <c r="D224" s="37" t="s">
        <v>54</v>
      </c>
      <c r="E224" s="37" t="s">
        <v>97</v>
      </c>
      <c r="F224" s="37" t="s">
        <v>624</v>
      </c>
      <c r="G224" s="33">
        <f>+G208</f>
        <v>50000</v>
      </c>
      <c r="H224" s="33">
        <f t="shared" si="35"/>
        <v>1630467.6</v>
      </c>
    </row>
    <row r="225" spans="1:8" ht="56.25" x14ac:dyDescent="0.25">
      <c r="A225" s="7" t="s">
        <v>142</v>
      </c>
      <c r="B225" s="7" t="s">
        <v>643</v>
      </c>
      <c r="C225" s="8" t="s">
        <v>644</v>
      </c>
      <c r="D225" s="71" t="s">
        <v>11</v>
      </c>
      <c r="E225" s="120" t="s">
        <v>645</v>
      </c>
      <c r="F225" s="120"/>
      <c r="G225" s="33"/>
      <c r="H225" s="33"/>
    </row>
    <row r="226" spans="1:8" ht="22.5" x14ac:dyDescent="0.25">
      <c r="A226" s="9" t="s">
        <v>147</v>
      </c>
      <c r="B226" s="9" t="s">
        <v>34</v>
      </c>
      <c r="C226" s="10" t="s">
        <v>35</v>
      </c>
      <c r="D226" s="37" t="s">
        <v>16</v>
      </c>
      <c r="E226" s="37" t="s">
        <v>646</v>
      </c>
      <c r="F226" s="37" t="s">
        <v>647</v>
      </c>
      <c r="G226" s="33">
        <f>+G217</f>
        <v>26500</v>
      </c>
      <c r="H226" s="33">
        <f t="shared" ref="H226:H235" si="36">G226*F226</f>
        <v>4429739.2765499996</v>
      </c>
    </row>
    <row r="227" spans="1:8" ht="22.5" x14ac:dyDescent="0.25">
      <c r="A227" s="9" t="s">
        <v>150</v>
      </c>
      <c r="B227" s="9" t="s">
        <v>14</v>
      </c>
      <c r="C227" s="10" t="s">
        <v>15</v>
      </c>
      <c r="D227" s="37" t="s">
        <v>16</v>
      </c>
      <c r="E227" s="37" t="s">
        <v>648</v>
      </c>
      <c r="F227" s="37" t="s">
        <v>649</v>
      </c>
      <c r="G227" s="33">
        <f>+G222</f>
        <v>0</v>
      </c>
      <c r="H227" s="33">
        <f t="shared" si="36"/>
        <v>0</v>
      </c>
    </row>
    <row r="228" spans="1:8" ht="33.75" x14ac:dyDescent="0.25">
      <c r="A228" s="9" t="s">
        <v>153</v>
      </c>
      <c r="B228" s="9" t="s">
        <v>650</v>
      </c>
      <c r="C228" s="10" t="s">
        <v>651</v>
      </c>
      <c r="D228" s="37" t="s">
        <v>21</v>
      </c>
      <c r="E228" s="37" t="s">
        <v>652</v>
      </c>
      <c r="F228" s="37" t="s">
        <v>653</v>
      </c>
      <c r="G228" s="35">
        <f>+G27</f>
        <v>162930</v>
      </c>
      <c r="H228" s="33">
        <f t="shared" si="36"/>
        <v>12820255.044077249</v>
      </c>
    </row>
    <row r="229" spans="1:8" ht="22.5" x14ac:dyDescent="0.25">
      <c r="A229" s="9" t="s">
        <v>156</v>
      </c>
      <c r="B229" s="9" t="s">
        <v>654</v>
      </c>
      <c r="C229" s="10" t="s">
        <v>655</v>
      </c>
      <c r="D229" s="37" t="s">
        <v>21</v>
      </c>
      <c r="E229" s="37" t="s">
        <v>656</v>
      </c>
      <c r="F229" s="37" t="s">
        <v>657</v>
      </c>
      <c r="G229" s="32">
        <v>15000</v>
      </c>
      <c r="H229" s="33">
        <f t="shared" si="36"/>
        <v>97617.551625000007</v>
      </c>
    </row>
    <row r="230" spans="1:8" ht="22.5" x14ac:dyDescent="0.25">
      <c r="A230" s="9" t="s">
        <v>658</v>
      </c>
      <c r="B230" s="9" t="s">
        <v>659</v>
      </c>
      <c r="C230" s="10" t="s">
        <v>660</v>
      </c>
      <c r="D230" s="37" t="s">
        <v>21</v>
      </c>
      <c r="E230" s="37" t="s">
        <v>661</v>
      </c>
      <c r="F230" s="37" t="s">
        <v>662</v>
      </c>
      <c r="G230" s="32">
        <v>223109</v>
      </c>
      <c r="H230" s="33">
        <f t="shared" si="36"/>
        <v>24515273.215978425</v>
      </c>
    </row>
    <row r="231" spans="1:8" ht="22.5" x14ac:dyDescent="0.25">
      <c r="A231" s="9" t="s">
        <v>663</v>
      </c>
      <c r="B231" s="9" t="s">
        <v>664</v>
      </c>
      <c r="C231" s="10" t="s">
        <v>665</v>
      </c>
      <c r="D231" s="37" t="s">
        <v>21</v>
      </c>
      <c r="E231" s="37" t="s">
        <v>666</v>
      </c>
      <c r="F231" s="37" t="s">
        <v>667</v>
      </c>
      <c r="G231" s="35">
        <f>+G230</f>
        <v>223109</v>
      </c>
      <c r="H231" s="33">
        <f t="shared" si="36"/>
        <v>5975822.83972455</v>
      </c>
    </row>
    <row r="232" spans="1:8" ht="22.5" x14ac:dyDescent="0.25">
      <c r="A232" s="9" t="s">
        <v>668</v>
      </c>
      <c r="B232" s="9" t="s">
        <v>669</v>
      </c>
      <c r="C232" s="10" t="s">
        <v>670</v>
      </c>
      <c r="D232" s="37" t="s">
        <v>21</v>
      </c>
      <c r="E232" s="37" t="s">
        <v>671</v>
      </c>
      <c r="F232" s="37" t="s">
        <v>672</v>
      </c>
      <c r="G232" s="35">
        <f>+G231</f>
        <v>223109</v>
      </c>
      <c r="H232" s="33">
        <f t="shared" si="36"/>
        <v>6929794.5581143126</v>
      </c>
    </row>
    <row r="233" spans="1:8" ht="33.75" x14ac:dyDescent="0.25">
      <c r="A233" s="9" t="s">
        <v>673</v>
      </c>
      <c r="B233" s="9" t="s">
        <v>674</v>
      </c>
      <c r="C233" s="10" t="s">
        <v>675</v>
      </c>
      <c r="D233" s="37" t="s">
        <v>21</v>
      </c>
      <c r="E233" s="37" t="s">
        <v>676</v>
      </c>
      <c r="F233" s="37" t="s">
        <v>677</v>
      </c>
      <c r="G233" s="35">
        <f>+G20</f>
        <v>162930</v>
      </c>
      <c r="H233" s="33">
        <f t="shared" si="36"/>
        <v>1590482.7686261251</v>
      </c>
    </row>
    <row r="234" spans="1:8" ht="33.75" x14ac:dyDescent="0.25">
      <c r="A234" s="9" t="s">
        <v>678</v>
      </c>
      <c r="B234" s="9" t="s">
        <v>679</v>
      </c>
      <c r="C234" s="10" t="s">
        <v>680</v>
      </c>
      <c r="D234" s="37" t="s">
        <v>21</v>
      </c>
      <c r="E234" s="37" t="s">
        <v>661</v>
      </c>
      <c r="F234" s="37" t="s">
        <v>662</v>
      </c>
      <c r="G234" s="33">
        <f>+G233</f>
        <v>162930</v>
      </c>
      <c r="H234" s="33">
        <f t="shared" si="36"/>
        <v>17902789.51131225</v>
      </c>
    </row>
    <row r="235" spans="1:8" ht="22.5" x14ac:dyDescent="0.25">
      <c r="A235" s="9" t="s">
        <v>681</v>
      </c>
      <c r="B235" s="9" t="s">
        <v>193</v>
      </c>
      <c r="C235" s="10" t="s">
        <v>194</v>
      </c>
      <c r="D235" s="37" t="s">
        <v>54</v>
      </c>
      <c r="E235" s="37" t="s">
        <v>682</v>
      </c>
      <c r="F235" s="37" t="s">
        <v>683</v>
      </c>
      <c r="G235" s="33">
        <f>+G121</f>
        <v>0</v>
      </c>
      <c r="H235" s="33">
        <f t="shared" si="36"/>
        <v>0</v>
      </c>
    </row>
    <row r="236" spans="1:8" ht="45" x14ac:dyDescent="0.25">
      <c r="A236" s="7" t="s">
        <v>161</v>
      </c>
      <c r="B236" s="7" t="s">
        <v>684</v>
      </c>
      <c r="C236" s="8" t="s">
        <v>685</v>
      </c>
      <c r="D236" s="71" t="s">
        <v>686</v>
      </c>
      <c r="E236" s="120" t="s">
        <v>687</v>
      </c>
      <c r="F236" s="120"/>
      <c r="G236" s="33"/>
      <c r="H236" s="33"/>
    </row>
    <row r="237" spans="1:8" x14ac:dyDescent="0.25">
      <c r="A237" s="9" t="s">
        <v>166</v>
      </c>
      <c r="B237" s="9" t="s">
        <v>34</v>
      </c>
      <c r="C237" s="10" t="s">
        <v>35</v>
      </c>
      <c r="D237" s="37" t="s">
        <v>16</v>
      </c>
      <c r="E237" s="37" t="s">
        <v>688</v>
      </c>
      <c r="F237" s="37" t="s">
        <v>689</v>
      </c>
      <c r="G237" s="33">
        <f>+G226</f>
        <v>26500</v>
      </c>
      <c r="H237" s="33">
        <f t="shared" ref="H237:H243" si="37">G237*F237</f>
        <v>1044921.4999999999</v>
      </c>
    </row>
    <row r="238" spans="1:8" x14ac:dyDescent="0.25">
      <c r="A238" s="9" t="s">
        <v>169</v>
      </c>
      <c r="B238" s="9" t="s">
        <v>14</v>
      </c>
      <c r="C238" s="10" t="s">
        <v>15</v>
      </c>
      <c r="D238" s="37" t="s">
        <v>16</v>
      </c>
      <c r="E238" s="37" t="s">
        <v>690</v>
      </c>
      <c r="F238" s="37" t="s">
        <v>691</v>
      </c>
      <c r="G238" s="33">
        <f>+G227</f>
        <v>0</v>
      </c>
      <c r="H238" s="33">
        <f t="shared" si="37"/>
        <v>0</v>
      </c>
    </row>
    <row r="239" spans="1:8" x14ac:dyDescent="0.25">
      <c r="A239" s="9" t="s">
        <v>692</v>
      </c>
      <c r="B239" s="9" t="s">
        <v>75</v>
      </c>
      <c r="C239" s="10" t="s">
        <v>76</v>
      </c>
      <c r="D239" s="37" t="s">
        <v>21</v>
      </c>
      <c r="E239" s="37" t="s">
        <v>693</v>
      </c>
      <c r="F239" s="37" t="s">
        <v>694</v>
      </c>
      <c r="G239" s="33">
        <f>+G223</f>
        <v>148642</v>
      </c>
      <c r="H239" s="33">
        <f t="shared" si="37"/>
        <v>2978488.3960000002</v>
      </c>
    </row>
    <row r="240" spans="1:8" ht="33.75" x14ac:dyDescent="0.25">
      <c r="A240" s="9" t="s">
        <v>695</v>
      </c>
      <c r="B240" s="9" t="s">
        <v>42</v>
      </c>
      <c r="C240" s="10" t="s">
        <v>43</v>
      </c>
      <c r="D240" s="37" t="s">
        <v>21</v>
      </c>
      <c r="E240" s="37" t="s">
        <v>696</v>
      </c>
      <c r="F240" s="37" t="s">
        <v>697</v>
      </c>
      <c r="G240" s="33">
        <f>+G206</f>
        <v>162930</v>
      </c>
      <c r="H240" s="33">
        <f t="shared" si="37"/>
        <v>80568.884999999995</v>
      </c>
    </row>
    <row r="241" spans="1:8" x14ac:dyDescent="0.25">
      <c r="A241" s="9" t="s">
        <v>698</v>
      </c>
      <c r="B241" s="9" t="s">
        <v>659</v>
      </c>
      <c r="C241" s="10" t="s">
        <v>660</v>
      </c>
      <c r="D241" s="37" t="s">
        <v>21</v>
      </c>
      <c r="E241" s="37" t="s">
        <v>699</v>
      </c>
      <c r="F241" s="37" t="s">
        <v>700</v>
      </c>
      <c r="G241" s="33">
        <f>+G230</f>
        <v>223109</v>
      </c>
      <c r="H241" s="33">
        <f t="shared" si="37"/>
        <v>244639.01850000001</v>
      </c>
    </row>
    <row r="242" spans="1:8" ht="33.75" x14ac:dyDescent="0.25">
      <c r="A242" s="9" t="s">
        <v>701</v>
      </c>
      <c r="B242" s="9" t="s">
        <v>702</v>
      </c>
      <c r="C242" s="10" t="s">
        <v>703</v>
      </c>
      <c r="D242" s="37" t="s">
        <v>21</v>
      </c>
      <c r="E242" s="37" t="s">
        <v>704</v>
      </c>
      <c r="F242" s="37" t="s">
        <v>705</v>
      </c>
      <c r="G242" s="33">
        <f>+G234</f>
        <v>162930</v>
      </c>
      <c r="H242" s="33">
        <f t="shared" si="37"/>
        <v>136616.80499999999</v>
      </c>
    </row>
    <row r="243" spans="1:8" x14ac:dyDescent="0.25">
      <c r="A243" s="9" t="s">
        <v>706</v>
      </c>
      <c r="B243" s="9" t="s">
        <v>52</v>
      </c>
      <c r="C243" s="10" t="s">
        <v>53</v>
      </c>
      <c r="D243" s="37" t="s">
        <v>54</v>
      </c>
      <c r="E243" s="37" t="s">
        <v>142</v>
      </c>
      <c r="F243" s="37" t="s">
        <v>707</v>
      </c>
      <c r="G243" s="33">
        <f>+G224</f>
        <v>50000</v>
      </c>
      <c r="H243" s="33">
        <f t="shared" si="37"/>
        <v>236500.00000000003</v>
      </c>
    </row>
    <row r="244" spans="1:8" ht="33.75" x14ac:dyDescent="0.25">
      <c r="A244" s="7" t="s">
        <v>172</v>
      </c>
      <c r="B244" s="7" t="s">
        <v>708</v>
      </c>
      <c r="C244" s="8" t="s">
        <v>709</v>
      </c>
      <c r="D244" s="71" t="s">
        <v>686</v>
      </c>
      <c r="E244" s="120" t="s">
        <v>710</v>
      </c>
      <c r="F244" s="120"/>
      <c r="G244" s="33"/>
      <c r="H244" s="33"/>
    </row>
    <row r="245" spans="1:8" x14ac:dyDescent="0.25">
      <c r="A245" s="9" t="s">
        <v>177</v>
      </c>
      <c r="B245" s="9" t="s">
        <v>34</v>
      </c>
      <c r="C245" s="10" t="s">
        <v>35</v>
      </c>
      <c r="D245" s="37" t="s">
        <v>16</v>
      </c>
      <c r="E245" s="37" t="s">
        <v>711</v>
      </c>
      <c r="F245" s="37" t="s">
        <v>712</v>
      </c>
      <c r="G245" s="33">
        <f>+G237</f>
        <v>26500</v>
      </c>
      <c r="H245" s="33">
        <f t="shared" ref="H245:H249" si="38">G245*F245</f>
        <v>-28031.7</v>
      </c>
    </row>
    <row r="246" spans="1:8" x14ac:dyDescent="0.25">
      <c r="A246" s="9" t="s">
        <v>180</v>
      </c>
      <c r="B246" s="9" t="s">
        <v>14</v>
      </c>
      <c r="C246" s="10" t="s">
        <v>15</v>
      </c>
      <c r="D246" s="37" t="s">
        <v>16</v>
      </c>
      <c r="E246" s="37" t="s">
        <v>713</v>
      </c>
      <c r="F246" s="37" t="s">
        <v>714</v>
      </c>
      <c r="G246" s="33">
        <f>+G238</f>
        <v>0</v>
      </c>
      <c r="H246" s="33">
        <f t="shared" si="38"/>
        <v>0</v>
      </c>
    </row>
    <row r="247" spans="1:8" x14ac:dyDescent="0.25">
      <c r="A247" s="9" t="s">
        <v>183</v>
      </c>
      <c r="B247" s="9" t="s">
        <v>75</v>
      </c>
      <c r="C247" s="10" t="s">
        <v>76</v>
      </c>
      <c r="D247" s="37" t="s">
        <v>21</v>
      </c>
      <c r="E247" s="37" t="s">
        <v>715</v>
      </c>
      <c r="F247" s="37" t="s">
        <v>716</v>
      </c>
      <c r="G247" s="33">
        <f>+G239</f>
        <v>148642</v>
      </c>
      <c r="H247" s="33">
        <f t="shared" si="38"/>
        <v>-645552.20600000001</v>
      </c>
    </row>
    <row r="248" spans="1:8" ht="33.75" x14ac:dyDescent="0.25">
      <c r="A248" s="9" t="s">
        <v>188</v>
      </c>
      <c r="B248" s="9" t="s">
        <v>42</v>
      </c>
      <c r="C248" s="10" t="s">
        <v>43</v>
      </c>
      <c r="D248" s="37" t="s">
        <v>21</v>
      </c>
      <c r="E248" s="37" t="s">
        <v>559</v>
      </c>
      <c r="F248" s="37" t="s">
        <v>717</v>
      </c>
      <c r="G248" s="33">
        <f>+G240</f>
        <v>162930</v>
      </c>
      <c r="H248" s="33">
        <f t="shared" si="38"/>
        <v>-22419.168000000001</v>
      </c>
    </row>
    <row r="249" spans="1:8" x14ac:dyDescent="0.25">
      <c r="A249" s="9" t="s">
        <v>192</v>
      </c>
      <c r="B249" s="9" t="s">
        <v>659</v>
      </c>
      <c r="C249" s="10" t="s">
        <v>660</v>
      </c>
      <c r="D249" s="37" t="s">
        <v>21</v>
      </c>
      <c r="E249" s="37" t="s">
        <v>718</v>
      </c>
      <c r="F249" s="37" t="s">
        <v>719</v>
      </c>
      <c r="G249" s="33">
        <f>+G241</f>
        <v>223109</v>
      </c>
      <c r="H249" s="33">
        <f t="shared" si="38"/>
        <v>-67155.808999999994</v>
      </c>
    </row>
    <row r="250" spans="1:8" ht="45" x14ac:dyDescent="0.25">
      <c r="A250" s="7" t="s">
        <v>197</v>
      </c>
      <c r="B250" s="7" t="s">
        <v>720</v>
      </c>
      <c r="C250" s="8" t="s">
        <v>721</v>
      </c>
      <c r="D250" s="71" t="s">
        <v>11</v>
      </c>
      <c r="E250" s="120" t="s">
        <v>722</v>
      </c>
      <c r="F250" s="120"/>
      <c r="G250" s="33"/>
      <c r="H250" s="33"/>
    </row>
    <row r="251" spans="1:8" x14ac:dyDescent="0.25">
      <c r="A251" s="9" t="s">
        <v>723</v>
      </c>
      <c r="B251" s="9" t="s">
        <v>34</v>
      </c>
      <c r="C251" s="10" t="s">
        <v>35</v>
      </c>
      <c r="D251" s="37" t="s">
        <v>16</v>
      </c>
      <c r="E251" s="37" t="s">
        <v>724</v>
      </c>
      <c r="F251" s="37" t="s">
        <v>725</v>
      </c>
      <c r="G251" s="33">
        <f>+G245</f>
        <v>26500</v>
      </c>
      <c r="H251" s="33">
        <f t="shared" ref="H251:H253" si="39">G251*F251</f>
        <v>160192.5</v>
      </c>
    </row>
    <row r="252" spans="1:8" x14ac:dyDescent="0.25">
      <c r="A252" s="9" t="s">
        <v>726</v>
      </c>
      <c r="B252" s="9" t="s">
        <v>14</v>
      </c>
      <c r="C252" s="10" t="s">
        <v>15</v>
      </c>
      <c r="D252" s="37" t="s">
        <v>16</v>
      </c>
      <c r="E252" s="37" t="s">
        <v>727</v>
      </c>
      <c r="F252" s="37" t="s">
        <v>728</v>
      </c>
      <c r="G252" s="33">
        <f>+G246</f>
        <v>0</v>
      </c>
      <c r="H252" s="33">
        <f t="shared" si="39"/>
        <v>0</v>
      </c>
    </row>
    <row r="253" spans="1:8" ht="33.75" x14ac:dyDescent="0.25">
      <c r="A253" s="9" t="s">
        <v>729</v>
      </c>
      <c r="B253" s="9" t="s">
        <v>619</v>
      </c>
      <c r="C253" s="10" t="s">
        <v>620</v>
      </c>
      <c r="D253" s="37" t="s">
        <v>21</v>
      </c>
      <c r="E253" s="37" t="s">
        <v>730</v>
      </c>
      <c r="F253" s="37" t="s">
        <v>731</v>
      </c>
      <c r="G253" s="33">
        <f>+G212</f>
        <v>314602</v>
      </c>
      <c r="H253" s="33">
        <f t="shared" si="39"/>
        <v>4013141.7624999997</v>
      </c>
    </row>
    <row r="254" spans="1:8" ht="45" x14ac:dyDescent="0.25">
      <c r="A254" s="7" t="s">
        <v>202</v>
      </c>
      <c r="B254" s="7" t="s">
        <v>684</v>
      </c>
      <c r="C254" s="8" t="s">
        <v>685</v>
      </c>
      <c r="D254" s="71" t="s">
        <v>686</v>
      </c>
      <c r="E254" s="120" t="s">
        <v>732</v>
      </c>
      <c r="F254" s="120"/>
      <c r="G254" s="33"/>
      <c r="H254" s="33"/>
    </row>
    <row r="255" spans="1:8" x14ac:dyDescent="0.25">
      <c r="A255" s="9" t="s">
        <v>206</v>
      </c>
      <c r="B255" s="9" t="s">
        <v>34</v>
      </c>
      <c r="C255" s="10" t="s">
        <v>35</v>
      </c>
      <c r="D255" s="37" t="s">
        <v>16</v>
      </c>
      <c r="E255" s="37" t="s">
        <v>688</v>
      </c>
      <c r="F255" s="37" t="s">
        <v>733</v>
      </c>
      <c r="G255" s="33">
        <f>+G251</f>
        <v>26500</v>
      </c>
      <c r="H255" s="33">
        <f t="shared" ref="H255:H261" si="40">G255*F255</f>
        <v>534611</v>
      </c>
    </row>
    <row r="256" spans="1:8" x14ac:dyDescent="0.25">
      <c r="A256" s="9" t="s">
        <v>209</v>
      </c>
      <c r="B256" s="9" t="s">
        <v>14</v>
      </c>
      <c r="C256" s="10" t="s">
        <v>15</v>
      </c>
      <c r="D256" s="37" t="s">
        <v>16</v>
      </c>
      <c r="E256" s="37" t="s">
        <v>690</v>
      </c>
      <c r="F256" s="37" t="s">
        <v>734</v>
      </c>
      <c r="G256" s="33">
        <f>+G252</f>
        <v>0</v>
      </c>
      <c r="H256" s="33">
        <f t="shared" si="40"/>
        <v>0</v>
      </c>
    </row>
    <row r="257" spans="1:8" x14ac:dyDescent="0.25">
      <c r="A257" s="9" t="s">
        <v>212</v>
      </c>
      <c r="B257" s="9" t="s">
        <v>75</v>
      </c>
      <c r="C257" s="10" t="s">
        <v>76</v>
      </c>
      <c r="D257" s="37" t="s">
        <v>21</v>
      </c>
      <c r="E257" s="37" t="s">
        <v>693</v>
      </c>
      <c r="F257" s="37" t="s">
        <v>735</v>
      </c>
      <c r="G257" s="33">
        <f>+G247</f>
        <v>148642</v>
      </c>
      <c r="H257" s="33">
        <f t="shared" si="40"/>
        <v>1523877.784</v>
      </c>
    </row>
    <row r="258" spans="1:8" ht="33.75" x14ac:dyDescent="0.25">
      <c r="A258" s="9" t="s">
        <v>215</v>
      </c>
      <c r="B258" s="9" t="s">
        <v>42</v>
      </c>
      <c r="C258" s="10" t="s">
        <v>43</v>
      </c>
      <c r="D258" s="37" t="s">
        <v>21</v>
      </c>
      <c r="E258" s="37" t="s">
        <v>696</v>
      </c>
      <c r="F258" s="37" t="s">
        <v>736</v>
      </c>
      <c r="G258" s="33">
        <f>+G248</f>
        <v>162930</v>
      </c>
      <c r="H258" s="33">
        <f t="shared" si="40"/>
        <v>41221.29</v>
      </c>
    </row>
    <row r="259" spans="1:8" x14ac:dyDescent="0.25">
      <c r="A259" s="9" t="s">
        <v>218</v>
      </c>
      <c r="B259" s="9" t="s">
        <v>659</v>
      </c>
      <c r="C259" s="10" t="s">
        <v>660</v>
      </c>
      <c r="D259" s="37" t="s">
        <v>21</v>
      </c>
      <c r="E259" s="37" t="s">
        <v>699</v>
      </c>
      <c r="F259" s="37" t="s">
        <v>737</v>
      </c>
      <c r="G259" s="33">
        <f>+G249</f>
        <v>223109</v>
      </c>
      <c r="H259" s="33">
        <f t="shared" si="40"/>
        <v>125164.149</v>
      </c>
    </row>
    <row r="260" spans="1:8" ht="33.75" x14ac:dyDescent="0.25">
      <c r="A260" s="9" t="s">
        <v>738</v>
      </c>
      <c r="B260" s="9" t="s">
        <v>702</v>
      </c>
      <c r="C260" s="10" t="s">
        <v>703</v>
      </c>
      <c r="D260" s="37" t="s">
        <v>21</v>
      </c>
      <c r="E260" s="37" t="s">
        <v>704</v>
      </c>
      <c r="F260" s="37" t="s">
        <v>739</v>
      </c>
      <c r="G260" s="33">
        <f>+G242</f>
        <v>162930</v>
      </c>
      <c r="H260" s="33">
        <f t="shared" si="40"/>
        <v>69896.97</v>
      </c>
    </row>
    <row r="261" spans="1:8" x14ac:dyDescent="0.25">
      <c r="A261" s="9" t="s">
        <v>740</v>
      </c>
      <c r="B261" s="9" t="s">
        <v>52</v>
      </c>
      <c r="C261" s="10" t="s">
        <v>53</v>
      </c>
      <c r="D261" s="37" t="s">
        <v>54</v>
      </c>
      <c r="E261" s="37" t="s">
        <v>142</v>
      </c>
      <c r="F261" s="37" t="s">
        <v>741</v>
      </c>
      <c r="G261" s="33">
        <f>+G243</f>
        <v>50000</v>
      </c>
      <c r="H261" s="33">
        <f t="shared" si="40"/>
        <v>121000</v>
      </c>
    </row>
    <row r="262" spans="1:8" ht="33.75" x14ac:dyDescent="0.25">
      <c r="A262" s="7" t="s">
        <v>221</v>
      </c>
      <c r="B262" s="7" t="s">
        <v>708</v>
      </c>
      <c r="C262" s="8" t="s">
        <v>709</v>
      </c>
      <c r="D262" s="71" t="s">
        <v>686</v>
      </c>
      <c r="E262" s="120" t="s">
        <v>742</v>
      </c>
      <c r="F262" s="120"/>
      <c r="G262" s="33"/>
      <c r="H262" s="33"/>
    </row>
    <row r="263" spans="1:8" x14ac:dyDescent="0.25">
      <c r="A263" s="9" t="s">
        <v>743</v>
      </c>
      <c r="B263" s="9" t="s">
        <v>34</v>
      </c>
      <c r="C263" s="10" t="s">
        <v>35</v>
      </c>
      <c r="D263" s="37" t="s">
        <v>16</v>
      </c>
      <c r="E263" s="37" t="s">
        <v>711</v>
      </c>
      <c r="F263" s="37" t="s">
        <v>744</v>
      </c>
      <c r="G263" s="33">
        <f>+G255</f>
        <v>26500</v>
      </c>
      <c r="H263" s="33">
        <f t="shared" ref="H263:H267" si="41">G263*F263</f>
        <v>-14341.800000000001</v>
      </c>
    </row>
    <row r="264" spans="1:8" x14ac:dyDescent="0.25">
      <c r="A264" s="9" t="s">
        <v>745</v>
      </c>
      <c r="B264" s="9" t="s">
        <v>14</v>
      </c>
      <c r="C264" s="10" t="s">
        <v>15</v>
      </c>
      <c r="D264" s="37" t="s">
        <v>16</v>
      </c>
      <c r="E264" s="37" t="s">
        <v>713</v>
      </c>
      <c r="F264" s="37" t="s">
        <v>746</v>
      </c>
      <c r="G264" s="33">
        <f>+G256</f>
        <v>0</v>
      </c>
      <c r="H264" s="33">
        <f t="shared" si="41"/>
        <v>0</v>
      </c>
    </row>
    <row r="265" spans="1:8" x14ac:dyDescent="0.25">
      <c r="A265" s="9" t="s">
        <v>747</v>
      </c>
      <c r="B265" s="9" t="s">
        <v>75</v>
      </c>
      <c r="C265" s="10" t="s">
        <v>76</v>
      </c>
      <c r="D265" s="37" t="s">
        <v>21</v>
      </c>
      <c r="E265" s="37" t="s">
        <v>715</v>
      </c>
      <c r="F265" s="37" t="s">
        <v>748</v>
      </c>
      <c r="G265" s="33">
        <f>+G257</f>
        <v>148642</v>
      </c>
      <c r="H265" s="33">
        <f t="shared" si="41"/>
        <v>-330282.52399999998</v>
      </c>
    </row>
    <row r="266" spans="1:8" ht="33.75" x14ac:dyDescent="0.25">
      <c r="A266" s="9" t="s">
        <v>749</v>
      </c>
      <c r="B266" s="9" t="s">
        <v>42</v>
      </c>
      <c r="C266" s="10" t="s">
        <v>43</v>
      </c>
      <c r="D266" s="37" t="s">
        <v>21</v>
      </c>
      <c r="E266" s="37" t="s">
        <v>559</v>
      </c>
      <c r="F266" s="37" t="s">
        <v>750</v>
      </c>
      <c r="G266" s="33">
        <f>+G258</f>
        <v>162930</v>
      </c>
      <c r="H266" s="33">
        <f t="shared" si="41"/>
        <v>-11470.272000000001</v>
      </c>
    </row>
    <row r="267" spans="1:8" x14ac:dyDescent="0.25">
      <c r="A267" s="9" t="s">
        <v>751</v>
      </c>
      <c r="B267" s="9" t="s">
        <v>659</v>
      </c>
      <c r="C267" s="10" t="s">
        <v>660</v>
      </c>
      <c r="D267" s="37" t="s">
        <v>21</v>
      </c>
      <c r="E267" s="37" t="s">
        <v>718</v>
      </c>
      <c r="F267" s="37" t="s">
        <v>752</v>
      </c>
      <c r="G267" s="33">
        <f>+G259</f>
        <v>223109</v>
      </c>
      <c r="H267" s="33">
        <f t="shared" si="41"/>
        <v>-34358.786</v>
      </c>
    </row>
    <row r="268" spans="1:8" ht="56.25" x14ac:dyDescent="0.25">
      <c r="A268" s="7" t="s">
        <v>225</v>
      </c>
      <c r="B268" s="7" t="s">
        <v>9</v>
      </c>
      <c r="C268" s="8" t="s">
        <v>10</v>
      </c>
      <c r="D268" s="71" t="s">
        <v>11</v>
      </c>
      <c r="E268" s="120" t="s">
        <v>722</v>
      </c>
      <c r="F268" s="120"/>
      <c r="G268" s="33"/>
      <c r="H268" s="33"/>
    </row>
    <row r="269" spans="1:8" x14ac:dyDescent="0.25">
      <c r="A269" s="9" t="s">
        <v>227</v>
      </c>
      <c r="B269" s="9" t="s">
        <v>14</v>
      </c>
      <c r="C269" s="10" t="s">
        <v>15</v>
      </c>
      <c r="D269" s="37" t="s">
        <v>16</v>
      </c>
      <c r="E269" s="37" t="s">
        <v>17</v>
      </c>
      <c r="F269" s="37" t="s">
        <v>753</v>
      </c>
      <c r="G269" s="33">
        <f>+G264</f>
        <v>0</v>
      </c>
      <c r="H269" s="33">
        <f t="shared" ref="H269:H270" si="42">G269*F269</f>
        <v>0</v>
      </c>
    </row>
    <row r="270" spans="1:8" ht="33.75" x14ac:dyDescent="0.25">
      <c r="A270" s="9" t="s">
        <v>754</v>
      </c>
      <c r="B270" s="9" t="s">
        <v>19</v>
      </c>
      <c r="C270" s="10" t="s">
        <v>20</v>
      </c>
      <c r="D270" s="37" t="s">
        <v>21</v>
      </c>
      <c r="E270" s="37" t="s">
        <v>17</v>
      </c>
      <c r="F270" s="37" t="s">
        <v>753</v>
      </c>
      <c r="G270" s="33">
        <f>+G215</f>
        <v>162930</v>
      </c>
      <c r="H270" s="33">
        <f t="shared" si="42"/>
        <v>3087116.1750000003</v>
      </c>
    </row>
    <row r="271" spans="1:8" ht="15" customHeight="1" x14ac:dyDescent="0.25">
      <c r="A271" s="62" t="s">
        <v>1903</v>
      </c>
      <c r="B271" s="63"/>
      <c r="C271" s="62" t="s">
        <v>1903</v>
      </c>
      <c r="D271" s="74"/>
      <c r="E271" s="63"/>
      <c r="F271" s="64"/>
      <c r="G271" s="33"/>
      <c r="H271" s="33"/>
    </row>
    <row r="272" spans="1:8" x14ac:dyDescent="0.25">
      <c r="A272" s="55" t="s">
        <v>228</v>
      </c>
      <c r="B272" s="56" t="s">
        <v>293</v>
      </c>
      <c r="C272" s="57" t="s">
        <v>294</v>
      </c>
      <c r="D272" s="75" t="s">
        <v>107</v>
      </c>
      <c r="E272" s="122" t="s">
        <v>1904</v>
      </c>
      <c r="F272" s="123"/>
      <c r="G272" s="33"/>
      <c r="H272" s="33"/>
    </row>
    <row r="273" spans="1:8" ht="22.5" x14ac:dyDescent="0.25">
      <c r="A273" s="58" t="s">
        <v>232</v>
      </c>
      <c r="B273" s="59" t="s">
        <v>34</v>
      </c>
      <c r="C273" s="60" t="s">
        <v>35</v>
      </c>
      <c r="D273" s="76" t="s">
        <v>16</v>
      </c>
      <c r="E273" s="61" t="s">
        <v>297</v>
      </c>
      <c r="F273" s="61" t="s">
        <v>1905</v>
      </c>
      <c r="G273" s="33">
        <f>+G263</f>
        <v>26500</v>
      </c>
      <c r="H273" s="33">
        <f t="shared" ref="H273:H336" si="43">G273*F273</f>
        <v>9157815.9400000013</v>
      </c>
    </row>
    <row r="274" spans="1:8" ht="22.5" x14ac:dyDescent="0.25">
      <c r="A274" s="58" t="s">
        <v>235</v>
      </c>
      <c r="B274" s="59" t="s">
        <v>14</v>
      </c>
      <c r="C274" s="60" t="s">
        <v>15</v>
      </c>
      <c r="D274" s="76" t="s">
        <v>16</v>
      </c>
      <c r="E274" s="61" t="s">
        <v>300</v>
      </c>
      <c r="F274" s="61" t="s">
        <v>1906</v>
      </c>
      <c r="G274" s="33"/>
      <c r="H274" s="33">
        <f t="shared" si="43"/>
        <v>0</v>
      </c>
    </row>
    <row r="275" spans="1:8" ht="22.5" x14ac:dyDescent="0.25">
      <c r="A275" s="58" t="s">
        <v>238</v>
      </c>
      <c r="B275" s="59" t="s">
        <v>303</v>
      </c>
      <c r="C275" s="60" t="s">
        <v>304</v>
      </c>
      <c r="D275" s="76" t="s">
        <v>21</v>
      </c>
      <c r="E275" s="61" t="s">
        <v>305</v>
      </c>
      <c r="F275" s="61" t="s">
        <v>1907</v>
      </c>
      <c r="G275" s="33">
        <f>+G112</f>
        <v>500</v>
      </c>
      <c r="H275" s="33">
        <f t="shared" si="43"/>
        <v>9035.7540000000008</v>
      </c>
    </row>
    <row r="276" spans="1:8" ht="33.75" x14ac:dyDescent="0.25">
      <c r="A276" s="58" t="s">
        <v>240</v>
      </c>
      <c r="B276" s="59" t="s">
        <v>308</v>
      </c>
      <c r="C276" s="60" t="s">
        <v>309</v>
      </c>
      <c r="D276" s="76" t="s">
        <v>21</v>
      </c>
      <c r="E276" s="61" t="s">
        <v>310</v>
      </c>
      <c r="F276" s="61" t="s">
        <v>1908</v>
      </c>
      <c r="G276" s="33">
        <f>+G113</f>
        <v>25300</v>
      </c>
      <c r="H276" s="33">
        <f t="shared" si="43"/>
        <v>214166.39244</v>
      </c>
    </row>
    <row r="277" spans="1:8" ht="33.75" x14ac:dyDescent="0.25">
      <c r="A277" s="58" t="s">
        <v>245</v>
      </c>
      <c r="B277" s="59" t="s">
        <v>313</v>
      </c>
      <c r="C277" s="60" t="s">
        <v>314</v>
      </c>
      <c r="D277" s="76" t="s">
        <v>21</v>
      </c>
      <c r="E277" s="61" t="s">
        <v>315</v>
      </c>
      <c r="F277" s="61" t="s">
        <v>1909</v>
      </c>
      <c r="G277" s="33">
        <f>+G183</f>
        <v>113021</v>
      </c>
      <c r="H277" s="33">
        <f t="shared" si="43"/>
        <v>85998.311817599999</v>
      </c>
    </row>
    <row r="278" spans="1:8" ht="33.75" x14ac:dyDescent="0.25">
      <c r="A278" s="58" t="s">
        <v>248</v>
      </c>
      <c r="B278" s="59" t="s">
        <v>318</v>
      </c>
      <c r="C278" s="60" t="s">
        <v>319</v>
      </c>
      <c r="D278" s="76" t="s">
        <v>21</v>
      </c>
      <c r="E278" s="61" t="s">
        <v>320</v>
      </c>
      <c r="F278" s="61" t="s">
        <v>1910</v>
      </c>
      <c r="G278" s="33">
        <f>+G277</f>
        <v>113021</v>
      </c>
      <c r="H278" s="33">
        <f t="shared" si="43"/>
        <v>1648300.9765039999</v>
      </c>
    </row>
    <row r="279" spans="1:8" ht="22.5" x14ac:dyDescent="0.25">
      <c r="A279" s="58" t="s">
        <v>253</v>
      </c>
      <c r="B279" s="59" t="s">
        <v>323</v>
      </c>
      <c r="C279" s="60" t="s">
        <v>324</v>
      </c>
      <c r="D279" s="76" t="s">
        <v>21</v>
      </c>
      <c r="E279" s="61" t="s">
        <v>325</v>
      </c>
      <c r="F279" s="61" t="s">
        <v>1911</v>
      </c>
      <c r="G279" s="33">
        <f>+G116</f>
        <v>25000</v>
      </c>
      <c r="H279" s="33">
        <f t="shared" si="43"/>
        <v>846507.48</v>
      </c>
    </row>
    <row r="280" spans="1:8" x14ac:dyDescent="0.25">
      <c r="A280" s="58" t="s">
        <v>1008</v>
      </c>
      <c r="B280" s="59" t="s">
        <v>328</v>
      </c>
      <c r="C280" s="60" t="s">
        <v>329</v>
      </c>
      <c r="D280" s="76" t="s">
        <v>21</v>
      </c>
      <c r="E280" s="61" t="s">
        <v>330</v>
      </c>
      <c r="F280" s="61" t="s">
        <v>1912</v>
      </c>
      <c r="G280" s="33">
        <f>+G117</f>
        <v>25000</v>
      </c>
      <c r="H280" s="33">
        <f t="shared" si="43"/>
        <v>112946.925</v>
      </c>
    </row>
    <row r="281" spans="1:8" ht="22.5" x14ac:dyDescent="0.25">
      <c r="A281" s="58" t="s">
        <v>1009</v>
      </c>
      <c r="B281" s="59" t="s">
        <v>239</v>
      </c>
      <c r="C281" s="60" t="s">
        <v>190</v>
      </c>
      <c r="D281" s="76" t="s">
        <v>21</v>
      </c>
      <c r="E281" s="61" t="s">
        <v>12</v>
      </c>
      <c r="F281" s="61" t="s">
        <v>1913</v>
      </c>
      <c r="G281" s="33">
        <f>+G186</f>
        <v>35000</v>
      </c>
      <c r="H281" s="33">
        <f t="shared" si="43"/>
        <v>79895.088000000003</v>
      </c>
    </row>
    <row r="282" spans="1:8" ht="22.5" x14ac:dyDescent="0.25">
      <c r="A282" s="58" t="s">
        <v>1811</v>
      </c>
      <c r="B282" s="59" t="s">
        <v>335</v>
      </c>
      <c r="C282" s="60" t="s">
        <v>336</v>
      </c>
      <c r="D282" s="76" t="s">
        <v>54</v>
      </c>
      <c r="E282" s="61" t="s">
        <v>337</v>
      </c>
      <c r="F282" s="61" t="s">
        <v>1914</v>
      </c>
      <c r="G282" s="33">
        <f>+G119</f>
        <v>691107.42350000003</v>
      </c>
      <c r="H282" s="33">
        <f t="shared" si="43"/>
        <v>111199066.95288801</v>
      </c>
    </row>
    <row r="283" spans="1:8" ht="22.5" x14ac:dyDescent="0.25">
      <c r="A283" s="58" t="s">
        <v>1812</v>
      </c>
      <c r="B283" s="59" t="s">
        <v>340</v>
      </c>
      <c r="C283" s="60" t="s">
        <v>341</v>
      </c>
      <c r="D283" s="76" t="s">
        <v>54</v>
      </c>
      <c r="E283" s="61" t="s">
        <v>342</v>
      </c>
      <c r="F283" s="61" t="s">
        <v>1915</v>
      </c>
      <c r="G283" s="33"/>
      <c r="H283" s="33">
        <f t="shared" si="43"/>
        <v>0</v>
      </c>
    </row>
    <row r="284" spans="1:8" ht="22.5" x14ac:dyDescent="0.25">
      <c r="A284" s="58" t="s">
        <v>1813</v>
      </c>
      <c r="B284" s="59" t="s">
        <v>246</v>
      </c>
      <c r="C284" s="60" t="s">
        <v>194</v>
      </c>
      <c r="D284" s="76" t="s">
        <v>54</v>
      </c>
      <c r="E284" s="61" t="s">
        <v>270</v>
      </c>
      <c r="F284" s="61" t="s">
        <v>1916</v>
      </c>
      <c r="G284" s="33"/>
      <c r="H284" s="33">
        <f t="shared" si="43"/>
        <v>0</v>
      </c>
    </row>
    <row r="285" spans="1:8" ht="22.5" x14ac:dyDescent="0.25">
      <c r="A285" s="58" t="s">
        <v>1814</v>
      </c>
      <c r="B285" s="59" t="s">
        <v>249</v>
      </c>
      <c r="C285" s="60" t="s">
        <v>250</v>
      </c>
      <c r="D285" s="76" t="s">
        <v>60</v>
      </c>
      <c r="E285" s="61" t="s">
        <v>347</v>
      </c>
      <c r="F285" s="61" t="s">
        <v>1917</v>
      </c>
      <c r="G285" s="33">
        <f>+G135</f>
        <v>11500000</v>
      </c>
      <c r="H285" s="33">
        <f t="shared" si="43"/>
        <v>91150.150000000009</v>
      </c>
    </row>
    <row r="286" spans="1:8" ht="22.5" x14ac:dyDescent="0.25">
      <c r="A286" s="58" t="s">
        <v>1815</v>
      </c>
      <c r="B286" s="59" t="s">
        <v>350</v>
      </c>
      <c r="C286" s="60" t="s">
        <v>351</v>
      </c>
      <c r="D286" s="76" t="s">
        <v>60</v>
      </c>
      <c r="E286" s="61" t="s">
        <v>352</v>
      </c>
      <c r="F286" s="61" t="s">
        <v>1918</v>
      </c>
      <c r="G286" s="33">
        <f>+G123</f>
        <v>10000000</v>
      </c>
      <c r="H286" s="33">
        <f t="shared" si="43"/>
        <v>84016.66</v>
      </c>
    </row>
    <row r="287" spans="1:8" ht="33.75" x14ac:dyDescent="0.25">
      <c r="A287" s="58" t="s">
        <v>1816</v>
      </c>
      <c r="B287" s="59" t="s">
        <v>355</v>
      </c>
      <c r="C287" s="60" t="s">
        <v>356</v>
      </c>
      <c r="D287" s="76" t="s">
        <v>54</v>
      </c>
      <c r="E287" s="61" t="s">
        <v>78</v>
      </c>
      <c r="F287" s="61" t="s">
        <v>1919</v>
      </c>
      <c r="G287" s="33">
        <f>+G139</f>
        <v>2350000</v>
      </c>
      <c r="H287" s="33">
        <f t="shared" si="43"/>
        <v>745053.4</v>
      </c>
    </row>
    <row r="288" spans="1:8" ht="22.5" x14ac:dyDescent="0.25">
      <c r="A288" s="58" t="s">
        <v>1817</v>
      </c>
      <c r="B288" s="59" t="s">
        <v>359</v>
      </c>
      <c r="C288" s="60" t="s">
        <v>360</v>
      </c>
      <c r="D288" s="76" t="s">
        <v>361</v>
      </c>
      <c r="E288" s="61" t="s">
        <v>362</v>
      </c>
      <c r="F288" s="61" t="s">
        <v>1920</v>
      </c>
      <c r="G288" s="33">
        <f>+G125</f>
        <v>23000</v>
      </c>
      <c r="H288" s="33">
        <f t="shared" si="43"/>
        <v>193967.51919999998</v>
      </c>
    </row>
    <row r="289" spans="1:8" ht="22.5" x14ac:dyDescent="0.25">
      <c r="A289" s="58" t="s">
        <v>1818</v>
      </c>
      <c r="B289" s="59" t="s">
        <v>365</v>
      </c>
      <c r="C289" s="60" t="s">
        <v>366</v>
      </c>
      <c r="D289" s="76" t="s">
        <v>367</v>
      </c>
      <c r="E289" s="61" t="s">
        <v>368</v>
      </c>
      <c r="F289" s="61" t="s">
        <v>1921</v>
      </c>
      <c r="G289" s="33">
        <f>+G126</f>
        <v>23000</v>
      </c>
      <c r="H289" s="33">
        <f t="shared" si="43"/>
        <v>681803.12199999997</v>
      </c>
    </row>
    <row r="290" spans="1:8" x14ac:dyDescent="0.25">
      <c r="A290" s="55" t="s">
        <v>258</v>
      </c>
      <c r="B290" s="56" t="s">
        <v>1819</v>
      </c>
      <c r="C290" s="57" t="s">
        <v>1820</v>
      </c>
      <c r="D290" s="75" t="s">
        <v>107</v>
      </c>
      <c r="E290" s="122" t="s">
        <v>1922</v>
      </c>
      <c r="F290" s="123"/>
      <c r="G290" s="33"/>
      <c r="H290" s="33">
        <f t="shared" si="43"/>
        <v>0</v>
      </c>
    </row>
    <row r="291" spans="1:8" ht="22.5" x14ac:dyDescent="0.25">
      <c r="A291" s="58" t="s">
        <v>260</v>
      </c>
      <c r="B291" s="59" t="s">
        <v>34</v>
      </c>
      <c r="C291" s="60" t="s">
        <v>35</v>
      </c>
      <c r="D291" s="76" t="s">
        <v>16</v>
      </c>
      <c r="E291" s="61" t="s">
        <v>1821</v>
      </c>
      <c r="F291" s="61" t="s">
        <v>1923</v>
      </c>
      <c r="G291" s="33">
        <f>+G273</f>
        <v>26500</v>
      </c>
      <c r="H291" s="33">
        <f t="shared" si="43"/>
        <v>82000260.159999996</v>
      </c>
    </row>
    <row r="292" spans="1:8" ht="22.5" x14ac:dyDescent="0.25">
      <c r="A292" s="58" t="s">
        <v>262</v>
      </c>
      <c r="B292" s="59" t="s">
        <v>14</v>
      </c>
      <c r="C292" s="60" t="s">
        <v>15</v>
      </c>
      <c r="D292" s="76" t="s">
        <v>16</v>
      </c>
      <c r="E292" s="61" t="s">
        <v>1822</v>
      </c>
      <c r="F292" s="61" t="s">
        <v>1924</v>
      </c>
      <c r="G292" s="33"/>
      <c r="H292" s="33">
        <f t="shared" si="43"/>
        <v>0</v>
      </c>
    </row>
    <row r="293" spans="1:8" ht="22.5" x14ac:dyDescent="0.25">
      <c r="A293" s="58" t="s">
        <v>264</v>
      </c>
      <c r="B293" s="59" t="s">
        <v>303</v>
      </c>
      <c r="C293" s="60" t="s">
        <v>304</v>
      </c>
      <c r="D293" s="76" t="s">
        <v>21</v>
      </c>
      <c r="E293" s="61" t="s">
        <v>1823</v>
      </c>
      <c r="F293" s="61" t="s">
        <v>1925</v>
      </c>
      <c r="G293" s="33">
        <f>+G275</f>
        <v>500</v>
      </c>
      <c r="H293" s="33">
        <f t="shared" si="43"/>
        <v>61252.900799999996</v>
      </c>
    </row>
    <row r="294" spans="1:8" ht="33.75" x14ac:dyDescent="0.25">
      <c r="A294" s="58" t="s">
        <v>266</v>
      </c>
      <c r="B294" s="59" t="s">
        <v>308</v>
      </c>
      <c r="C294" s="60" t="s">
        <v>309</v>
      </c>
      <c r="D294" s="76" t="s">
        <v>21</v>
      </c>
      <c r="E294" s="61" t="s">
        <v>1824</v>
      </c>
      <c r="F294" s="61" t="s">
        <v>1926</v>
      </c>
      <c r="G294" s="33">
        <f>+G276</f>
        <v>25300</v>
      </c>
      <c r="H294" s="33">
        <f t="shared" si="43"/>
        <v>1209598.95056</v>
      </c>
    </row>
    <row r="295" spans="1:8" ht="33.75" x14ac:dyDescent="0.25">
      <c r="A295" s="58" t="s">
        <v>268</v>
      </c>
      <c r="B295" s="59" t="s">
        <v>313</v>
      </c>
      <c r="C295" s="60" t="s">
        <v>314</v>
      </c>
      <c r="D295" s="76" t="s">
        <v>21</v>
      </c>
      <c r="E295" s="61" t="s">
        <v>425</v>
      </c>
      <c r="F295" s="61" t="s">
        <v>1927</v>
      </c>
      <c r="G295" s="33">
        <f>+G278</f>
        <v>113021</v>
      </c>
      <c r="H295" s="33">
        <f t="shared" si="43"/>
        <v>508823.34492080001</v>
      </c>
    </row>
    <row r="296" spans="1:8" ht="33.75" x14ac:dyDescent="0.25">
      <c r="A296" s="58" t="s">
        <v>1825</v>
      </c>
      <c r="B296" s="59" t="s">
        <v>318</v>
      </c>
      <c r="C296" s="60" t="s">
        <v>319</v>
      </c>
      <c r="D296" s="76" t="s">
        <v>21</v>
      </c>
      <c r="E296" s="61" t="s">
        <v>1826</v>
      </c>
      <c r="F296" s="61" t="s">
        <v>1928</v>
      </c>
      <c r="G296" s="33">
        <f>+G295</f>
        <v>113021</v>
      </c>
      <c r="H296" s="33">
        <f t="shared" si="43"/>
        <v>6808199.6855600001</v>
      </c>
    </row>
    <row r="297" spans="1:8" ht="22.5" x14ac:dyDescent="0.25">
      <c r="A297" s="58" t="s">
        <v>1827</v>
      </c>
      <c r="B297" s="59" t="s">
        <v>323</v>
      </c>
      <c r="C297" s="60" t="s">
        <v>324</v>
      </c>
      <c r="D297" s="76" t="s">
        <v>21</v>
      </c>
      <c r="E297" s="61" t="s">
        <v>1828</v>
      </c>
      <c r="F297" s="61" t="s">
        <v>1929</v>
      </c>
      <c r="G297" s="33">
        <f>+G279</f>
        <v>25000</v>
      </c>
      <c r="H297" s="33">
        <f t="shared" si="43"/>
        <v>4781023.5200000005</v>
      </c>
    </row>
    <row r="298" spans="1:8" ht="22.5" x14ac:dyDescent="0.25">
      <c r="A298" s="58" t="s">
        <v>1829</v>
      </c>
      <c r="B298" s="59" t="s">
        <v>328</v>
      </c>
      <c r="C298" s="60" t="s">
        <v>329</v>
      </c>
      <c r="D298" s="76" t="s">
        <v>21</v>
      </c>
      <c r="E298" s="61" t="s">
        <v>1830</v>
      </c>
      <c r="F298" s="61" t="s">
        <v>1930</v>
      </c>
      <c r="G298" s="33">
        <f>+G280</f>
        <v>25000</v>
      </c>
      <c r="H298" s="33">
        <f t="shared" si="43"/>
        <v>765661.26</v>
      </c>
    </row>
    <row r="299" spans="1:8" ht="22.5" x14ac:dyDescent="0.25">
      <c r="A299" s="58" t="s">
        <v>1831</v>
      </c>
      <c r="B299" s="59" t="s">
        <v>239</v>
      </c>
      <c r="C299" s="60" t="s">
        <v>190</v>
      </c>
      <c r="D299" s="76" t="s">
        <v>21</v>
      </c>
      <c r="E299" s="61" t="s">
        <v>1832</v>
      </c>
      <c r="F299" s="61" t="s">
        <v>1931</v>
      </c>
      <c r="G299" s="33">
        <f>+G281</f>
        <v>35000</v>
      </c>
      <c r="H299" s="33">
        <f t="shared" si="43"/>
        <v>472712.60399999999</v>
      </c>
    </row>
    <row r="300" spans="1:8" ht="22.5" x14ac:dyDescent="0.25">
      <c r="A300" s="58" t="s">
        <v>1833</v>
      </c>
      <c r="B300" s="59" t="s">
        <v>335</v>
      </c>
      <c r="C300" s="60" t="s">
        <v>336</v>
      </c>
      <c r="D300" s="76" t="s">
        <v>54</v>
      </c>
      <c r="E300" s="61" t="s">
        <v>337</v>
      </c>
      <c r="F300" s="61" t="s">
        <v>1932</v>
      </c>
      <c r="G300" s="33">
        <f>+G282</f>
        <v>691107.42350000003</v>
      </c>
      <c r="H300" s="33">
        <f t="shared" si="43"/>
        <v>444796267.81155205</v>
      </c>
    </row>
    <row r="301" spans="1:8" ht="22.5" x14ac:dyDescent="0.25">
      <c r="A301" s="58" t="s">
        <v>1834</v>
      </c>
      <c r="B301" s="59" t="s">
        <v>340</v>
      </c>
      <c r="C301" s="60" t="s">
        <v>341</v>
      </c>
      <c r="D301" s="76" t="s">
        <v>54</v>
      </c>
      <c r="E301" s="61" t="s">
        <v>1806</v>
      </c>
      <c r="F301" s="61" t="s">
        <v>1933</v>
      </c>
      <c r="G301" s="33"/>
      <c r="H301" s="33">
        <f t="shared" si="43"/>
        <v>0</v>
      </c>
    </row>
    <row r="302" spans="1:8" ht="22.5" x14ac:dyDescent="0.25">
      <c r="A302" s="58" t="s">
        <v>1835</v>
      </c>
      <c r="B302" s="59" t="s">
        <v>246</v>
      </c>
      <c r="C302" s="60" t="s">
        <v>194</v>
      </c>
      <c r="D302" s="76" t="s">
        <v>54</v>
      </c>
      <c r="E302" s="61" t="s">
        <v>1600</v>
      </c>
      <c r="F302" s="61" t="s">
        <v>1934</v>
      </c>
      <c r="G302" s="33"/>
      <c r="H302" s="33">
        <f t="shared" si="43"/>
        <v>0</v>
      </c>
    </row>
    <row r="303" spans="1:8" ht="22.5" x14ac:dyDescent="0.25">
      <c r="A303" s="58" t="s">
        <v>1836</v>
      </c>
      <c r="B303" s="59" t="s">
        <v>249</v>
      </c>
      <c r="C303" s="60" t="s">
        <v>250</v>
      </c>
      <c r="D303" s="76" t="s">
        <v>60</v>
      </c>
      <c r="E303" s="61" t="s">
        <v>1837</v>
      </c>
      <c r="F303" s="61" t="s">
        <v>1935</v>
      </c>
      <c r="G303" s="33">
        <f>+G285</f>
        <v>11500000</v>
      </c>
      <c r="H303" s="33">
        <f t="shared" si="43"/>
        <v>291680.48</v>
      </c>
    </row>
    <row r="304" spans="1:8" ht="22.5" x14ac:dyDescent="0.25">
      <c r="A304" s="58" t="s">
        <v>1838</v>
      </c>
      <c r="B304" s="59" t="s">
        <v>350</v>
      </c>
      <c r="C304" s="60" t="s">
        <v>351</v>
      </c>
      <c r="D304" s="76" t="s">
        <v>60</v>
      </c>
      <c r="E304" s="61" t="s">
        <v>1839</v>
      </c>
      <c r="F304" s="61" t="s">
        <v>1936</v>
      </c>
      <c r="G304" s="33">
        <f>+G286</f>
        <v>10000000</v>
      </c>
      <c r="H304" s="33">
        <f t="shared" si="43"/>
        <v>570679.19999999995</v>
      </c>
    </row>
    <row r="305" spans="1:8" ht="33.75" x14ac:dyDescent="0.25">
      <c r="A305" s="58" t="s">
        <v>1840</v>
      </c>
      <c r="B305" s="59" t="s">
        <v>355</v>
      </c>
      <c r="C305" s="60" t="s">
        <v>356</v>
      </c>
      <c r="D305" s="76" t="s">
        <v>54</v>
      </c>
      <c r="E305" s="61" t="s">
        <v>520</v>
      </c>
      <c r="F305" s="61" t="s">
        <v>1937</v>
      </c>
      <c r="G305" s="33">
        <f>+G287</f>
        <v>2350000</v>
      </c>
      <c r="H305" s="33">
        <f t="shared" si="43"/>
        <v>2384170.88</v>
      </c>
    </row>
    <row r="306" spans="1:8" ht="22.5" x14ac:dyDescent="0.25">
      <c r="A306" s="58" t="s">
        <v>1841</v>
      </c>
      <c r="B306" s="59" t="s">
        <v>359</v>
      </c>
      <c r="C306" s="60" t="s">
        <v>360</v>
      </c>
      <c r="D306" s="76" t="s">
        <v>361</v>
      </c>
      <c r="E306" s="61" t="s">
        <v>292</v>
      </c>
      <c r="F306" s="61" t="s">
        <v>1938</v>
      </c>
      <c r="G306" s="33">
        <f>+G288</f>
        <v>23000</v>
      </c>
      <c r="H306" s="33">
        <f t="shared" si="43"/>
        <v>3500165.76</v>
      </c>
    </row>
    <row r="307" spans="1:8" ht="22.5" x14ac:dyDescent="0.25">
      <c r="A307" s="58" t="s">
        <v>1842</v>
      </c>
      <c r="B307" s="59" t="s">
        <v>365</v>
      </c>
      <c r="C307" s="60" t="s">
        <v>366</v>
      </c>
      <c r="D307" s="76" t="s">
        <v>367</v>
      </c>
      <c r="E307" s="61" t="s">
        <v>1843</v>
      </c>
      <c r="F307" s="61" t="s">
        <v>1939</v>
      </c>
      <c r="G307" s="33">
        <f>+G289</f>
        <v>23000</v>
      </c>
      <c r="H307" s="33">
        <f t="shared" si="43"/>
        <v>4564799.5120000001</v>
      </c>
    </row>
    <row r="308" spans="1:8" ht="15" customHeight="1" x14ac:dyDescent="0.25">
      <c r="A308" s="62" t="s">
        <v>1940</v>
      </c>
      <c r="B308" s="63"/>
      <c r="C308" s="62" t="s">
        <v>1940</v>
      </c>
      <c r="D308" s="74"/>
      <c r="E308" s="63"/>
      <c r="F308" s="64"/>
      <c r="G308" s="33"/>
      <c r="H308" s="33">
        <f t="shared" si="43"/>
        <v>0</v>
      </c>
    </row>
    <row r="309" spans="1:8" ht="22.5" x14ac:dyDescent="0.25">
      <c r="A309" s="55" t="s">
        <v>270</v>
      </c>
      <c r="B309" s="56" t="s">
        <v>1760</v>
      </c>
      <c r="C309" s="57" t="s">
        <v>1761</v>
      </c>
      <c r="D309" s="75" t="s">
        <v>107</v>
      </c>
      <c r="E309" s="122" t="s">
        <v>1941</v>
      </c>
      <c r="F309" s="123"/>
      <c r="G309" s="33"/>
      <c r="H309" s="33">
        <f t="shared" si="43"/>
        <v>0</v>
      </c>
    </row>
    <row r="310" spans="1:8" x14ac:dyDescent="0.25">
      <c r="A310" s="58" t="s">
        <v>272</v>
      </c>
      <c r="B310" s="59" t="s">
        <v>34</v>
      </c>
      <c r="C310" s="60" t="s">
        <v>35</v>
      </c>
      <c r="D310" s="76" t="s">
        <v>16</v>
      </c>
      <c r="E310" s="61" t="s">
        <v>1762</v>
      </c>
      <c r="F310" s="61" t="s">
        <v>1942</v>
      </c>
      <c r="G310" s="33">
        <f>+G291</f>
        <v>26500</v>
      </c>
      <c r="H310" s="33">
        <f t="shared" si="43"/>
        <v>6265744.7999999998</v>
      </c>
    </row>
    <row r="311" spans="1:8" ht="22.5" x14ac:dyDescent="0.25">
      <c r="A311" s="58" t="s">
        <v>274</v>
      </c>
      <c r="B311" s="59" t="s">
        <v>14</v>
      </c>
      <c r="C311" s="60" t="s">
        <v>15</v>
      </c>
      <c r="D311" s="76" t="s">
        <v>16</v>
      </c>
      <c r="E311" s="61" t="s">
        <v>1763</v>
      </c>
      <c r="F311" s="61" t="s">
        <v>1943</v>
      </c>
      <c r="G311" s="33"/>
      <c r="H311" s="33">
        <f t="shared" si="43"/>
        <v>0</v>
      </c>
    </row>
    <row r="312" spans="1:8" ht="33.75" x14ac:dyDescent="0.25">
      <c r="A312" s="58" t="s">
        <v>1778</v>
      </c>
      <c r="B312" s="59" t="s">
        <v>308</v>
      </c>
      <c r="C312" s="60" t="s">
        <v>309</v>
      </c>
      <c r="D312" s="76" t="s">
        <v>21</v>
      </c>
      <c r="E312" s="61" t="s">
        <v>1764</v>
      </c>
      <c r="F312" s="61" t="s">
        <v>1944</v>
      </c>
      <c r="G312" s="33">
        <f>+G294</f>
        <v>25300</v>
      </c>
      <c r="H312" s="33">
        <f t="shared" si="43"/>
        <v>76946.053799999994</v>
      </c>
    </row>
    <row r="313" spans="1:8" ht="33.75" x14ac:dyDescent="0.25">
      <c r="A313" s="58" t="s">
        <v>1779</v>
      </c>
      <c r="B313" s="59" t="s">
        <v>313</v>
      </c>
      <c r="C313" s="60" t="s">
        <v>314</v>
      </c>
      <c r="D313" s="76" t="s">
        <v>21</v>
      </c>
      <c r="E313" s="61" t="s">
        <v>616</v>
      </c>
      <c r="F313" s="61" t="s">
        <v>1945</v>
      </c>
      <c r="G313" s="33">
        <f>+G296</f>
        <v>113021</v>
      </c>
      <c r="H313" s="33">
        <f t="shared" si="43"/>
        <v>211198.27394400002</v>
      </c>
    </row>
    <row r="314" spans="1:8" ht="33.75" x14ac:dyDescent="0.25">
      <c r="A314" s="58" t="s">
        <v>1780</v>
      </c>
      <c r="B314" s="59" t="s">
        <v>318</v>
      </c>
      <c r="C314" s="60" t="s">
        <v>319</v>
      </c>
      <c r="D314" s="76" t="s">
        <v>21</v>
      </c>
      <c r="E314" s="61" t="s">
        <v>1765</v>
      </c>
      <c r="F314" s="61" t="s">
        <v>1946</v>
      </c>
      <c r="G314" s="33">
        <f>+G313</f>
        <v>113021</v>
      </c>
      <c r="H314" s="33">
        <f t="shared" si="43"/>
        <v>720875.74116600002</v>
      </c>
    </row>
    <row r="315" spans="1:8" x14ac:dyDescent="0.25">
      <c r="A315" s="58" t="s">
        <v>1844</v>
      </c>
      <c r="B315" s="59" t="s">
        <v>323</v>
      </c>
      <c r="C315" s="60" t="s">
        <v>324</v>
      </c>
      <c r="D315" s="76" t="s">
        <v>21</v>
      </c>
      <c r="E315" s="61" t="s">
        <v>1766</v>
      </c>
      <c r="F315" s="61" t="s">
        <v>1947</v>
      </c>
      <c r="G315" s="33">
        <f>+G297</f>
        <v>25000</v>
      </c>
      <c r="H315" s="33">
        <f t="shared" si="43"/>
        <v>168155.92500000002</v>
      </c>
    </row>
    <row r="316" spans="1:8" x14ac:dyDescent="0.25">
      <c r="A316" s="58" t="s">
        <v>1845</v>
      </c>
      <c r="B316" s="59" t="s">
        <v>1757</v>
      </c>
      <c r="C316" s="60" t="s">
        <v>1758</v>
      </c>
      <c r="D316" s="76" t="s">
        <v>21</v>
      </c>
      <c r="E316" s="61" t="s">
        <v>1767</v>
      </c>
      <c r="F316" s="61" t="s">
        <v>1948</v>
      </c>
      <c r="G316" s="33"/>
      <c r="H316" s="33">
        <f t="shared" si="43"/>
        <v>0</v>
      </c>
    </row>
    <row r="317" spans="1:8" ht="22.5" x14ac:dyDescent="0.25">
      <c r="A317" s="58" t="s">
        <v>1949</v>
      </c>
      <c r="B317" s="59" t="s">
        <v>239</v>
      </c>
      <c r="C317" s="60" t="s">
        <v>190</v>
      </c>
      <c r="D317" s="76" t="s">
        <v>21</v>
      </c>
      <c r="E317" s="61" t="s">
        <v>1768</v>
      </c>
      <c r="F317" s="61" t="s">
        <v>1950</v>
      </c>
      <c r="G317" s="33">
        <f>+G299</f>
        <v>35000</v>
      </c>
      <c r="H317" s="33">
        <f t="shared" si="43"/>
        <v>195876.03</v>
      </c>
    </row>
    <row r="318" spans="1:8" ht="22.5" x14ac:dyDescent="0.25">
      <c r="A318" s="58" t="s">
        <v>1951</v>
      </c>
      <c r="B318" s="59" t="s">
        <v>335</v>
      </c>
      <c r="C318" s="60" t="s">
        <v>336</v>
      </c>
      <c r="D318" s="76" t="s">
        <v>54</v>
      </c>
      <c r="E318" s="61" t="s">
        <v>337</v>
      </c>
      <c r="F318" s="61" t="s">
        <v>1952</v>
      </c>
      <c r="G318" s="33">
        <f>+G300</f>
        <v>691107.42350000003</v>
      </c>
      <c r="H318" s="33">
        <f t="shared" si="43"/>
        <v>33439267.241418675</v>
      </c>
    </row>
    <row r="319" spans="1:8" ht="22.5" x14ac:dyDescent="0.25">
      <c r="A319" s="58" t="s">
        <v>1953</v>
      </c>
      <c r="B319" s="59" t="s">
        <v>340</v>
      </c>
      <c r="C319" s="60" t="s">
        <v>341</v>
      </c>
      <c r="D319" s="76" t="s">
        <v>54</v>
      </c>
      <c r="E319" s="61" t="s">
        <v>1769</v>
      </c>
      <c r="F319" s="61" t="s">
        <v>1954</v>
      </c>
      <c r="G319" s="33"/>
      <c r="H319" s="33">
        <f t="shared" si="43"/>
        <v>0</v>
      </c>
    </row>
    <row r="320" spans="1:8" ht="22.5" x14ac:dyDescent="0.25">
      <c r="A320" s="58" t="s">
        <v>1955</v>
      </c>
      <c r="B320" s="59" t="s">
        <v>246</v>
      </c>
      <c r="C320" s="60" t="s">
        <v>194</v>
      </c>
      <c r="D320" s="76" t="s">
        <v>54</v>
      </c>
      <c r="E320" s="61" t="s">
        <v>1330</v>
      </c>
      <c r="F320" s="61" t="s">
        <v>1956</v>
      </c>
      <c r="G320" s="33"/>
      <c r="H320" s="33">
        <f t="shared" si="43"/>
        <v>0</v>
      </c>
    </row>
    <row r="321" spans="1:8" ht="22.5" x14ac:dyDescent="0.25">
      <c r="A321" s="58" t="s">
        <v>1957</v>
      </c>
      <c r="B321" s="59" t="s">
        <v>1796</v>
      </c>
      <c r="C321" s="60" t="s">
        <v>1032</v>
      </c>
      <c r="D321" s="76" t="s">
        <v>60</v>
      </c>
      <c r="E321" s="61" t="s">
        <v>1797</v>
      </c>
      <c r="F321" s="61" t="s">
        <v>1958</v>
      </c>
      <c r="G321" s="33">
        <f>+G361</f>
        <v>12000000</v>
      </c>
      <c r="H321" s="33">
        <f t="shared" si="43"/>
        <v>417589.2</v>
      </c>
    </row>
    <row r="322" spans="1:8" ht="22.5" x14ac:dyDescent="0.25">
      <c r="A322" s="58" t="s">
        <v>1959</v>
      </c>
      <c r="B322" s="59" t="s">
        <v>249</v>
      </c>
      <c r="C322" s="60" t="s">
        <v>250</v>
      </c>
      <c r="D322" s="76" t="s">
        <v>60</v>
      </c>
      <c r="E322" s="61" t="s">
        <v>1770</v>
      </c>
      <c r="F322" s="61" t="s">
        <v>1960</v>
      </c>
      <c r="G322" s="33">
        <f>+G303</f>
        <v>11500000</v>
      </c>
      <c r="H322" s="33">
        <f t="shared" si="43"/>
        <v>723630.60000000009</v>
      </c>
    </row>
    <row r="323" spans="1:8" ht="22.5" x14ac:dyDescent="0.25">
      <c r="A323" s="58" t="s">
        <v>1961</v>
      </c>
      <c r="B323" s="59" t="s">
        <v>350</v>
      </c>
      <c r="C323" s="60" t="s">
        <v>351</v>
      </c>
      <c r="D323" s="76" t="s">
        <v>60</v>
      </c>
      <c r="E323" s="61" t="s">
        <v>1771</v>
      </c>
      <c r="F323" s="61" t="s">
        <v>1962</v>
      </c>
      <c r="G323" s="33">
        <f>+G304</f>
        <v>10000000</v>
      </c>
      <c r="H323" s="33">
        <f t="shared" si="43"/>
        <v>166845</v>
      </c>
    </row>
    <row r="324" spans="1:8" ht="22.5" x14ac:dyDescent="0.25">
      <c r="A324" s="58" t="s">
        <v>1963</v>
      </c>
      <c r="B324" s="59" t="s">
        <v>1772</v>
      </c>
      <c r="C324" s="60" t="s">
        <v>1075</v>
      </c>
      <c r="D324" s="76" t="s">
        <v>60</v>
      </c>
      <c r="E324" s="61" t="s">
        <v>140</v>
      </c>
      <c r="F324" s="61" t="s">
        <v>1964</v>
      </c>
      <c r="G324" s="33">
        <f>+G756</f>
        <v>3500000</v>
      </c>
      <c r="H324" s="33">
        <f t="shared" si="43"/>
        <v>66738</v>
      </c>
    </row>
    <row r="325" spans="1:8" ht="33.75" x14ac:dyDescent="0.25">
      <c r="A325" s="58" t="s">
        <v>1965</v>
      </c>
      <c r="B325" s="59" t="s">
        <v>1773</v>
      </c>
      <c r="C325" s="60" t="s">
        <v>1774</v>
      </c>
      <c r="D325" s="76" t="s">
        <v>54</v>
      </c>
      <c r="E325" s="61" t="s">
        <v>55</v>
      </c>
      <c r="F325" s="61" t="s">
        <v>1966</v>
      </c>
      <c r="G325" s="33">
        <f>+G522</f>
        <v>2350000</v>
      </c>
      <c r="H325" s="33">
        <f t="shared" si="43"/>
        <v>112024.5</v>
      </c>
    </row>
    <row r="326" spans="1:8" ht="33.75" x14ac:dyDescent="0.25">
      <c r="A326" s="58" t="s">
        <v>1967</v>
      </c>
      <c r="B326" s="59" t="s">
        <v>1759</v>
      </c>
      <c r="C326" s="60" t="s">
        <v>1113</v>
      </c>
      <c r="D326" s="76" t="s">
        <v>54</v>
      </c>
      <c r="E326" s="61" t="s">
        <v>520</v>
      </c>
      <c r="F326" s="61" t="s">
        <v>1968</v>
      </c>
      <c r="G326" s="33">
        <f>+G305</f>
        <v>2350000</v>
      </c>
      <c r="H326" s="33">
        <f t="shared" si="43"/>
        <v>179239.2</v>
      </c>
    </row>
    <row r="327" spans="1:8" ht="33.75" x14ac:dyDescent="0.25">
      <c r="A327" s="58" t="s">
        <v>1969</v>
      </c>
      <c r="B327" s="59" t="s">
        <v>355</v>
      </c>
      <c r="C327" s="60" t="s">
        <v>356</v>
      </c>
      <c r="D327" s="76" t="s">
        <v>54</v>
      </c>
      <c r="E327" s="61" t="s">
        <v>1775</v>
      </c>
      <c r="F327" s="61" t="s">
        <v>1970</v>
      </c>
      <c r="G327" s="33">
        <f>+G326</f>
        <v>2350000</v>
      </c>
      <c r="H327" s="33">
        <f t="shared" si="43"/>
        <v>2879029.6500000004</v>
      </c>
    </row>
    <row r="328" spans="1:8" ht="22.5" x14ac:dyDescent="0.25">
      <c r="A328" s="58" t="s">
        <v>1971</v>
      </c>
      <c r="B328" s="59" t="s">
        <v>359</v>
      </c>
      <c r="C328" s="60" t="s">
        <v>360</v>
      </c>
      <c r="D328" s="76" t="s">
        <v>361</v>
      </c>
      <c r="E328" s="61" t="s">
        <v>80</v>
      </c>
      <c r="F328" s="61" t="s">
        <v>1972</v>
      </c>
      <c r="G328" s="33">
        <f>+G306</f>
        <v>23000</v>
      </c>
      <c r="H328" s="33">
        <f t="shared" si="43"/>
        <v>65784.599999999991</v>
      </c>
    </row>
    <row r="329" spans="1:8" ht="22.5" x14ac:dyDescent="0.25">
      <c r="A329" s="58" t="s">
        <v>1973</v>
      </c>
      <c r="B329" s="59" t="s">
        <v>365</v>
      </c>
      <c r="C329" s="60" t="s">
        <v>366</v>
      </c>
      <c r="D329" s="76" t="s">
        <v>367</v>
      </c>
      <c r="E329" s="61" t="s">
        <v>1776</v>
      </c>
      <c r="F329" s="61" t="s">
        <v>1974</v>
      </c>
      <c r="G329" s="33">
        <f>+G307</f>
        <v>23000</v>
      </c>
      <c r="H329" s="33">
        <f t="shared" si="43"/>
        <v>1385862.24</v>
      </c>
    </row>
    <row r="330" spans="1:8" x14ac:dyDescent="0.25">
      <c r="A330" s="55" t="s">
        <v>275</v>
      </c>
      <c r="B330" s="56" t="s">
        <v>293</v>
      </c>
      <c r="C330" s="57" t="s">
        <v>294</v>
      </c>
      <c r="D330" s="75" t="s">
        <v>107</v>
      </c>
      <c r="E330" s="122" t="s">
        <v>1975</v>
      </c>
      <c r="F330" s="123"/>
      <c r="G330" s="33"/>
      <c r="H330" s="33">
        <f t="shared" si="43"/>
        <v>0</v>
      </c>
    </row>
    <row r="331" spans="1:8" x14ac:dyDescent="0.25">
      <c r="A331" s="58" t="s">
        <v>276</v>
      </c>
      <c r="B331" s="59" t="s">
        <v>34</v>
      </c>
      <c r="C331" s="60" t="s">
        <v>35</v>
      </c>
      <c r="D331" s="76" t="s">
        <v>16</v>
      </c>
      <c r="E331" s="61" t="s">
        <v>297</v>
      </c>
      <c r="F331" s="61" t="s">
        <v>1976</v>
      </c>
      <c r="G331" s="33">
        <f>+G310</f>
        <v>26500</v>
      </c>
      <c r="H331" s="33">
        <f t="shared" si="43"/>
        <v>6425757.1000000006</v>
      </c>
    </row>
    <row r="332" spans="1:8" x14ac:dyDescent="0.25">
      <c r="A332" s="58" t="s">
        <v>278</v>
      </c>
      <c r="B332" s="59" t="s">
        <v>14</v>
      </c>
      <c r="C332" s="60" t="s">
        <v>15</v>
      </c>
      <c r="D332" s="76" t="s">
        <v>16</v>
      </c>
      <c r="E332" s="61" t="s">
        <v>300</v>
      </c>
      <c r="F332" s="61" t="s">
        <v>1977</v>
      </c>
      <c r="G332" s="33"/>
      <c r="H332" s="33">
        <f t="shared" si="43"/>
        <v>0</v>
      </c>
    </row>
    <row r="333" spans="1:8" x14ac:dyDescent="0.25">
      <c r="A333" s="58" t="s">
        <v>279</v>
      </c>
      <c r="B333" s="59" t="s">
        <v>303</v>
      </c>
      <c r="C333" s="60" t="s">
        <v>304</v>
      </c>
      <c r="D333" s="76" t="s">
        <v>21</v>
      </c>
      <c r="E333" s="61" t="s">
        <v>305</v>
      </c>
      <c r="F333" s="61" t="s">
        <v>1978</v>
      </c>
      <c r="G333" s="33">
        <f>+G293</f>
        <v>500</v>
      </c>
      <c r="H333" s="33">
        <f t="shared" si="43"/>
        <v>6340.1100000000006</v>
      </c>
    </row>
    <row r="334" spans="1:8" ht="33.75" x14ac:dyDescent="0.25">
      <c r="A334" s="58" t="s">
        <v>1785</v>
      </c>
      <c r="B334" s="59" t="s">
        <v>308</v>
      </c>
      <c r="C334" s="60" t="s">
        <v>309</v>
      </c>
      <c r="D334" s="76" t="s">
        <v>21</v>
      </c>
      <c r="E334" s="61" t="s">
        <v>310</v>
      </c>
      <c r="F334" s="61" t="s">
        <v>1979</v>
      </c>
      <c r="G334" s="33">
        <f>+G312</f>
        <v>25300</v>
      </c>
      <c r="H334" s="33">
        <f t="shared" si="43"/>
        <v>150273.9546</v>
      </c>
    </row>
    <row r="335" spans="1:8" ht="33.75" x14ac:dyDescent="0.25">
      <c r="A335" s="58" t="s">
        <v>1787</v>
      </c>
      <c r="B335" s="59" t="s">
        <v>313</v>
      </c>
      <c r="C335" s="60" t="s">
        <v>314</v>
      </c>
      <c r="D335" s="76" t="s">
        <v>21</v>
      </c>
      <c r="E335" s="61" t="s">
        <v>315</v>
      </c>
      <c r="F335" s="61" t="s">
        <v>1980</v>
      </c>
      <c r="G335" s="33">
        <f>+G314</f>
        <v>113021</v>
      </c>
      <c r="H335" s="33">
        <f t="shared" si="43"/>
        <v>60342.363984000003</v>
      </c>
    </row>
    <row r="336" spans="1:8" ht="33.75" x14ac:dyDescent="0.25">
      <c r="A336" s="58" t="s">
        <v>1791</v>
      </c>
      <c r="B336" s="59" t="s">
        <v>318</v>
      </c>
      <c r="C336" s="60" t="s">
        <v>319</v>
      </c>
      <c r="D336" s="76" t="s">
        <v>21</v>
      </c>
      <c r="E336" s="61" t="s">
        <v>320</v>
      </c>
      <c r="F336" s="61" t="s">
        <v>1981</v>
      </c>
      <c r="G336" s="33">
        <f>+G335</f>
        <v>113021</v>
      </c>
      <c r="H336" s="33">
        <f t="shared" si="43"/>
        <v>1156561.97636</v>
      </c>
    </row>
    <row r="337" spans="1:8" ht="22.5" x14ac:dyDescent="0.25">
      <c r="A337" s="58" t="s">
        <v>1794</v>
      </c>
      <c r="B337" s="59" t="s">
        <v>323</v>
      </c>
      <c r="C337" s="60" t="s">
        <v>324</v>
      </c>
      <c r="D337" s="76" t="s">
        <v>21</v>
      </c>
      <c r="E337" s="61" t="s">
        <v>325</v>
      </c>
      <c r="F337" s="61" t="s">
        <v>1982</v>
      </c>
      <c r="G337" s="33">
        <f>+G315</f>
        <v>25000</v>
      </c>
      <c r="H337" s="33">
        <f t="shared" ref="H337:H400" si="44">G337*F337</f>
        <v>593968.20000000007</v>
      </c>
    </row>
    <row r="338" spans="1:8" x14ac:dyDescent="0.25">
      <c r="A338" s="58" t="s">
        <v>1846</v>
      </c>
      <c r="B338" s="59" t="s">
        <v>328</v>
      </c>
      <c r="C338" s="60" t="s">
        <v>329</v>
      </c>
      <c r="D338" s="76" t="s">
        <v>21</v>
      </c>
      <c r="E338" s="61" t="s">
        <v>330</v>
      </c>
      <c r="F338" s="61" t="s">
        <v>1983</v>
      </c>
      <c r="G338" s="33">
        <f>+G298</f>
        <v>25000</v>
      </c>
      <c r="H338" s="33">
        <f t="shared" si="44"/>
        <v>79251.375</v>
      </c>
    </row>
    <row r="339" spans="1:8" ht="22.5" x14ac:dyDescent="0.25">
      <c r="A339" s="58" t="s">
        <v>1847</v>
      </c>
      <c r="B339" s="59" t="s">
        <v>239</v>
      </c>
      <c r="C339" s="60" t="s">
        <v>190</v>
      </c>
      <c r="D339" s="76" t="s">
        <v>21</v>
      </c>
      <c r="E339" s="61" t="s">
        <v>12</v>
      </c>
      <c r="F339" s="61" t="s">
        <v>1984</v>
      </c>
      <c r="G339" s="33">
        <f>+G317</f>
        <v>35000</v>
      </c>
      <c r="H339" s="33">
        <f t="shared" si="44"/>
        <v>56059.92</v>
      </c>
    </row>
    <row r="340" spans="1:8" ht="22.5" x14ac:dyDescent="0.25">
      <c r="A340" s="58" t="s">
        <v>1848</v>
      </c>
      <c r="B340" s="59" t="s">
        <v>335</v>
      </c>
      <c r="C340" s="60" t="s">
        <v>336</v>
      </c>
      <c r="D340" s="76" t="s">
        <v>54</v>
      </c>
      <c r="E340" s="61" t="s">
        <v>337</v>
      </c>
      <c r="F340" s="61" t="s">
        <v>1985</v>
      </c>
      <c r="G340" s="33">
        <f>+G318</f>
        <v>691107.42350000003</v>
      </c>
      <c r="H340" s="33">
        <f t="shared" si="44"/>
        <v>78024956.896643579</v>
      </c>
    </row>
    <row r="341" spans="1:8" ht="22.5" x14ac:dyDescent="0.25">
      <c r="A341" s="58" t="s">
        <v>1849</v>
      </c>
      <c r="B341" s="59" t="s">
        <v>340</v>
      </c>
      <c r="C341" s="60" t="s">
        <v>341</v>
      </c>
      <c r="D341" s="76" t="s">
        <v>54</v>
      </c>
      <c r="E341" s="61" t="s">
        <v>342</v>
      </c>
      <c r="F341" s="61" t="s">
        <v>1986</v>
      </c>
      <c r="G341" s="33"/>
      <c r="H341" s="33">
        <f t="shared" si="44"/>
        <v>0</v>
      </c>
    </row>
    <row r="342" spans="1:8" ht="22.5" x14ac:dyDescent="0.25">
      <c r="A342" s="58" t="s">
        <v>1850</v>
      </c>
      <c r="B342" s="59" t="s">
        <v>246</v>
      </c>
      <c r="C342" s="60" t="s">
        <v>194</v>
      </c>
      <c r="D342" s="76" t="s">
        <v>54</v>
      </c>
      <c r="E342" s="61" t="s">
        <v>270</v>
      </c>
      <c r="F342" s="61" t="s">
        <v>1987</v>
      </c>
      <c r="G342" s="33"/>
      <c r="H342" s="33">
        <f t="shared" si="44"/>
        <v>0</v>
      </c>
    </row>
    <row r="343" spans="1:8" ht="22.5" x14ac:dyDescent="0.25">
      <c r="A343" s="58" t="s">
        <v>1851</v>
      </c>
      <c r="B343" s="59" t="s">
        <v>249</v>
      </c>
      <c r="C343" s="60" t="s">
        <v>250</v>
      </c>
      <c r="D343" s="76" t="s">
        <v>60</v>
      </c>
      <c r="E343" s="61" t="s">
        <v>347</v>
      </c>
      <c r="F343" s="61" t="s">
        <v>1988</v>
      </c>
      <c r="G343" s="33">
        <f>+G322</f>
        <v>11500000</v>
      </c>
      <c r="H343" s="33">
        <f t="shared" si="44"/>
        <v>63957.249999999993</v>
      </c>
    </row>
    <row r="344" spans="1:8" ht="22.5" x14ac:dyDescent="0.25">
      <c r="A344" s="58" t="s">
        <v>1852</v>
      </c>
      <c r="B344" s="59" t="s">
        <v>350</v>
      </c>
      <c r="C344" s="60" t="s">
        <v>351</v>
      </c>
      <c r="D344" s="76" t="s">
        <v>60</v>
      </c>
      <c r="E344" s="61" t="s">
        <v>352</v>
      </c>
      <c r="F344" s="61" t="s">
        <v>1989</v>
      </c>
      <c r="G344" s="33">
        <f>+G323</f>
        <v>10000000</v>
      </c>
      <c r="H344" s="33">
        <f t="shared" si="44"/>
        <v>58951.9</v>
      </c>
    </row>
    <row r="345" spans="1:8" ht="33.75" x14ac:dyDescent="0.25">
      <c r="A345" s="58" t="s">
        <v>1853</v>
      </c>
      <c r="B345" s="59" t="s">
        <v>355</v>
      </c>
      <c r="C345" s="60" t="s">
        <v>356</v>
      </c>
      <c r="D345" s="76" t="s">
        <v>54</v>
      </c>
      <c r="E345" s="61" t="s">
        <v>78</v>
      </c>
      <c r="F345" s="61" t="s">
        <v>1990</v>
      </c>
      <c r="G345" s="33">
        <f>+G327</f>
        <v>2350000</v>
      </c>
      <c r="H345" s="33">
        <f t="shared" si="44"/>
        <v>522781</v>
      </c>
    </row>
    <row r="346" spans="1:8" ht="22.5" x14ac:dyDescent="0.25">
      <c r="A346" s="58" t="s">
        <v>1854</v>
      </c>
      <c r="B346" s="59" t="s">
        <v>359</v>
      </c>
      <c r="C346" s="60" t="s">
        <v>360</v>
      </c>
      <c r="D346" s="76" t="s">
        <v>361</v>
      </c>
      <c r="E346" s="61" t="s">
        <v>362</v>
      </c>
      <c r="F346" s="61" t="s">
        <v>1991</v>
      </c>
      <c r="G346" s="33">
        <f>+G328</f>
        <v>23000</v>
      </c>
      <c r="H346" s="33">
        <f t="shared" si="44"/>
        <v>136101.02800000002</v>
      </c>
    </row>
    <row r="347" spans="1:8" ht="22.5" x14ac:dyDescent="0.25">
      <c r="A347" s="58" t="s">
        <v>1855</v>
      </c>
      <c r="B347" s="59" t="s">
        <v>365</v>
      </c>
      <c r="C347" s="60" t="s">
        <v>366</v>
      </c>
      <c r="D347" s="76" t="s">
        <v>367</v>
      </c>
      <c r="E347" s="61" t="s">
        <v>368</v>
      </c>
      <c r="F347" s="61" t="s">
        <v>1992</v>
      </c>
      <c r="G347" s="33">
        <f>+G329</f>
        <v>23000</v>
      </c>
      <c r="H347" s="33">
        <f t="shared" si="44"/>
        <v>478400.23</v>
      </c>
    </row>
    <row r="348" spans="1:8" ht="15" customHeight="1" x14ac:dyDescent="0.25">
      <c r="A348" s="62" t="s">
        <v>1993</v>
      </c>
      <c r="B348" s="63"/>
      <c r="C348" s="62" t="s">
        <v>1993</v>
      </c>
      <c r="D348" s="74"/>
      <c r="E348" s="63"/>
      <c r="F348" s="64"/>
      <c r="G348" s="33"/>
      <c r="H348" s="33">
        <f t="shared" si="44"/>
        <v>0</v>
      </c>
    </row>
    <row r="349" spans="1:8" ht="22.5" x14ac:dyDescent="0.25">
      <c r="A349" s="55" t="s">
        <v>281</v>
      </c>
      <c r="B349" s="56" t="s">
        <v>1760</v>
      </c>
      <c r="C349" s="57" t="s">
        <v>1761</v>
      </c>
      <c r="D349" s="75" t="s">
        <v>107</v>
      </c>
      <c r="E349" s="122" t="s">
        <v>1994</v>
      </c>
      <c r="F349" s="123"/>
      <c r="G349" s="33"/>
      <c r="H349" s="33">
        <f t="shared" si="44"/>
        <v>0</v>
      </c>
    </row>
    <row r="350" spans="1:8" ht="22.5" x14ac:dyDescent="0.25">
      <c r="A350" s="58" t="s">
        <v>284</v>
      </c>
      <c r="B350" s="59" t="s">
        <v>34</v>
      </c>
      <c r="C350" s="60" t="s">
        <v>35</v>
      </c>
      <c r="D350" s="76" t="s">
        <v>16</v>
      </c>
      <c r="E350" s="61" t="s">
        <v>1762</v>
      </c>
      <c r="F350" s="61" t="s">
        <v>1995</v>
      </c>
      <c r="G350" s="33">
        <f>+G331</f>
        <v>26500</v>
      </c>
      <c r="H350" s="33">
        <f t="shared" si="44"/>
        <v>91174276.079999998</v>
      </c>
    </row>
    <row r="351" spans="1:8" ht="22.5" x14ac:dyDescent="0.25">
      <c r="A351" s="58" t="s">
        <v>287</v>
      </c>
      <c r="B351" s="59" t="s">
        <v>14</v>
      </c>
      <c r="C351" s="60" t="s">
        <v>15</v>
      </c>
      <c r="D351" s="76" t="s">
        <v>16</v>
      </c>
      <c r="E351" s="61" t="s">
        <v>1763</v>
      </c>
      <c r="F351" s="61" t="s">
        <v>1996</v>
      </c>
      <c r="G351" s="33"/>
      <c r="H351" s="33">
        <f t="shared" si="44"/>
        <v>0</v>
      </c>
    </row>
    <row r="352" spans="1:8" ht="33.75" x14ac:dyDescent="0.25">
      <c r="A352" s="58" t="s">
        <v>1856</v>
      </c>
      <c r="B352" s="59" t="s">
        <v>308</v>
      </c>
      <c r="C352" s="60" t="s">
        <v>309</v>
      </c>
      <c r="D352" s="76" t="s">
        <v>21</v>
      </c>
      <c r="E352" s="61" t="s">
        <v>1764</v>
      </c>
      <c r="F352" s="61" t="s">
        <v>1997</v>
      </c>
      <c r="G352" s="33">
        <f>+G334</f>
        <v>25300</v>
      </c>
      <c r="H352" s="33">
        <f t="shared" si="44"/>
        <v>1119659.5099800001</v>
      </c>
    </row>
    <row r="353" spans="1:8" ht="33.75" x14ac:dyDescent="0.25">
      <c r="A353" s="58" t="s">
        <v>1858</v>
      </c>
      <c r="B353" s="59" t="s">
        <v>313</v>
      </c>
      <c r="C353" s="60" t="s">
        <v>314</v>
      </c>
      <c r="D353" s="76" t="s">
        <v>21</v>
      </c>
      <c r="E353" s="61" t="s">
        <v>616</v>
      </c>
      <c r="F353" s="61" t="s">
        <v>1998</v>
      </c>
      <c r="G353" s="33">
        <f>+G336</f>
        <v>113021</v>
      </c>
      <c r="H353" s="33">
        <f t="shared" si="44"/>
        <v>3073194.0656424002</v>
      </c>
    </row>
    <row r="354" spans="1:8" ht="33.75" x14ac:dyDescent="0.25">
      <c r="A354" s="58" t="s">
        <v>1859</v>
      </c>
      <c r="B354" s="59" t="s">
        <v>318</v>
      </c>
      <c r="C354" s="60" t="s">
        <v>319</v>
      </c>
      <c r="D354" s="76" t="s">
        <v>21</v>
      </c>
      <c r="E354" s="61" t="s">
        <v>1765</v>
      </c>
      <c r="F354" s="61" t="s">
        <v>1999</v>
      </c>
      <c r="G354" s="33">
        <f>+G353</f>
        <v>113021</v>
      </c>
      <c r="H354" s="33">
        <f t="shared" si="44"/>
        <v>10489626.683238599</v>
      </c>
    </row>
    <row r="355" spans="1:8" ht="22.5" x14ac:dyDescent="0.25">
      <c r="A355" s="58" t="s">
        <v>1860</v>
      </c>
      <c r="B355" s="59" t="s">
        <v>323</v>
      </c>
      <c r="C355" s="60" t="s">
        <v>324</v>
      </c>
      <c r="D355" s="76" t="s">
        <v>21</v>
      </c>
      <c r="E355" s="61" t="s">
        <v>1766</v>
      </c>
      <c r="F355" s="61" t="s">
        <v>2000</v>
      </c>
      <c r="G355" s="33">
        <f>+G337</f>
        <v>25000</v>
      </c>
      <c r="H355" s="33">
        <f t="shared" si="44"/>
        <v>2446875.0674999999</v>
      </c>
    </row>
    <row r="356" spans="1:8" ht="22.5" x14ac:dyDescent="0.25">
      <c r="A356" s="58" t="s">
        <v>1861</v>
      </c>
      <c r="B356" s="59" t="s">
        <v>1757</v>
      </c>
      <c r="C356" s="60" t="s">
        <v>1758</v>
      </c>
      <c r="D356" s="76" t="s">
        <v>21</v>
      </c>
      <c r="E356" s="61" t="s">
        <v>1767</v>
      </c>
      <c r="F356" s="61" t="s">
        <v>2001</v>
      </c>
      <c r="G356" s="33">
        <f>+G333</f>
        <v>500</v>
      </c>
      <c r="H356" s="33">
        <f t="shared" si="44"/>
        <v>39503.766149999996</v>
      </c>
    </row>
    <row r="357" spans="1:8" ht="22.5" x14ac:dyDescent="0.25">
      <c r="A357" s="58" t="s">
        <v>1862</v>
      </c>
      <c r="B357" s="59" t="s">
        <v>239</v>
      </c>
      <c r="C357" s="60" t="s">
        <v>190</v>
      </c>
      <c r="D357" s="76" t="s">
        <v>21</v>
      </c>
      <c r="E357" s="61" t="s">
        <v>1768</v>
      </c>
      <c r="F357" s="61" t="s">
        <v>2002</v>
      </c>
      <c r="G357" s="33">
        <f>+G339</f>
        <v>35000</v>
      </c>
      <c r="H357" s="33">
        <f t="shared" si="44"/>
        <v>2850236.6129999999</v>
      </c>
    </row>
    <row r="358" spans="1:8" ht="22.5" x14ac:dyDescent="0.25">
      <c r="A358" s="58" t="s">
        <v>1863</v>
      </c>
      <c r="B358" s="59" t="s">
        <v>335</v>
      </c>
      <c r="C358" s="60" t="s">
        <v>336</v>
      </c>
      <c r="D358" s="76" t="s">
        <v>54</v>
      </c>
      <c r="E358" s="61" t="s">
        <v>337</v>
      </c>
      <c r="F358" s="61" t="s">
        <v>2003</v>
      </c>
      <c r="G358" s="33">
        <f>+G340</f>
        <v>691107.42350000003</v>
      </c>
      <c r="H358" s="33">
        <f t="shared" si="44"/>
        <v>486582374.59368062</v>
      </c>
    </row>
    <row r="359" spans="1:8" ht="22.5" x14ac:dyDescent="0.25">
      <c r="A359" s="58" t="s">
        <v>1864</v>
      </c>
      <c r="B359" s="59" t="s">
        <v>340</v>
      </c>
      <c r="C359" s="60" t="s">
        <v>341</v>
      </c>
      <c r="D359" s="76" t="s">
        <v>54</v>
      </c>
      <c r="E359" s="61" t="s">
        <v>1769</v>
      </c>
      <c r="F359" s="61" t="s">
        <v>2004</v>
      </c>
      <c r="G359" s="33"/>
      <c r="H359" s="33">
        <f t="shared" si="44"/>
        <v>0</v>
      </c>
    </row>
    <row r="360" spans="1:8" ht="22.5" x14ac:dyDescent="0.25">
      <c r="A360" s="58" t="s">
        <v>1865</v>
      </c>
      <c r="B360" s="59" t="s">
        <v>246</v>
      </c>
      <c r="C360" s="60" t="s">
        <v>194</v>
      </c>
      <c r="D360" s="76" t="s">
        <v>54</v>
      </c>
      <c r="E360" s="61" t="s">
        <v>1330</v>
      </c>
      <c r="F360" s="61" t="s">
        <v>2005</v>
      </c>
      <c r="G360" s="33"/>
      <c r="H360" s="33">
        <f t="shared" si="44"/>
        <v>0</v>
      </c>
    </row>
    <row r="361" spans="1:8" ht="22.5" x14ac:dyDescent="0.25">
      <c r="A361" s="58" t="s">
        <v>2006</v>
      </c>
      <c r="B361" s="59" t="s">
        <v>1796</v>
      </c>
      <c r="C361" s="60" t="s">
        <v>1032</v>
      </c>
      <c r="D361" s="76" t="s">
        <v>60</v>
      </c>
      <c r="E361" s="61" t="s">
        <v>1797</v>
      </c>
      <c r="F361" s="61" t="s">
        <v>2007</v>
      </c>
      <c r="G361" s="33">
        <f>+G401</f>
        <v>12000000</v>
      </c>
      <c r="H361" s="33">
        <f t="shared" si="44"/>
        <v>6076435.3200000003</v>
      </c>
    </row>
    <row r="362" spans="1:8" ht="22.5" x14ac:dyDescent="0.25">
      <c r="A362" s="58" t="s">
        <v>1866</v>
      </c>
      <c r="B362" s="59" t="s">
        <v>249</v>
      </c>
      <c r="C362" s="60" t="s">
        <v>250</v>
      </c>
      <c r="D362" s="76" t="s">
        <v>60</v>
      </c>
      <c r="E362" s="61" t="s">
        <v>1770</v>
      </c>
      <c r="F362" s="61" t="s">
        <v>2008</v>
      </c>
      <c r="G362" s="33">
        <f>+G343</f>
        <v>11500000</v>
      </c>
      <c r="H362" s="33">
        <f t="shared" si="44"/>
        <v>10529713.26</v>
      </c>
    </row>
    <row r="363" spans="1:8" ht="22.5" x14ac:dyDescent="0.25">
      <c r="A363" s="58" t="s">
        <v>2009</v>
      </c>
      <c r="B363" s="59" t="s">
        <v>350</v>
      </c>
      <c r="C363" s="60" t="s">
        <v>351</v>
      </c>
      <c r="D363" s="76" t="s">
        <v>60</v>
      </c>
      <c r="E363" s="61" t="s">
        <v>1771</v>
      </c>
      <c r="F363" s="61" t="s">
        <v>2010</v>
      </c>
      <c r="G363" s="33">
        <f>+G344</f>
        <v>10000000</v>
      </c>
      <c r="H363" s="33">
        <f t="shared" si="44"/>
        <v>2427799.5</v>
      </c>
    </row>
    <row r="364" spans="1:8" ht="22.5" x14ac:dyDescent="0.25">
      <c r="A364" s="58" t="s">
        <v>1867</v>
      </c>
      <c r="B364" s="59" t="s">
        <v>1772</v>
      </c>
      <c r="C364" s="60" t="s">
        <v>1075</v>
      </c>
      <c r="D364" s="76" t="s">
        <v>60</v>
      </c>
      <c r="E364" s="61" t="s">
        <v>140</v>
      </c>
      <c r="F364" s="61" t="s">
        <v>2011</v>
      </c>
      <c r="G364" s="33">
        <f>+G324</f>
        <v>3500000</v>
      </c>
      <c r="H364" s="33">
        <f t="shared" si="44"/>
        <v>971119.8</v>
      </c>
    </row>
    <row r="365" spans="1:8" ht="33.75" x14ac:dyDescent="0.25">
      <c r="A365" s="58" t="s">
        <v>2012</v>
      </c>
      <c r="B365" s="59" t="s">
        <v>1773</v>
      </c>
      <c r="C365" s="60" t="s">
        <v>1774</v>
      </c>
      <c r="D365" s="76" t="s">
        <v>54</v>
      </c>
      <c r="E365" s="61" t="s">
        <v>55</v>
      </c>
      <c r="F365" s="61" t="s">
        <v>2013</v>
      </c>
      <c r="G365" s="33">
        <f>+G522</f>
        <v>2350000</v>
      </c>
      <c r="H365" s="33">
        <f t="shared" si="44"/>
        <v>1630093.95</v>
      </c>
    </row>
    <row r="366" spans="1:8" ht="33.75" x14ac:dyDescent="0.25">
      <c r="A366" s="58" t="s">
        <v>1868</v>
      </c>
      <c r="B366" s="59" t="s">
        <v>1759</v>
      </c>
      <c r="C366" s="60" t="s">
        <v>1113</v>
      </c>
      <c r="D366" s="76" t="s">
        <v>54</v>
      </c>
      <c r="E366" s="61" t="s">
        <v>520</v>
      </c>
      <c r="F366" s="61" t="s">
        <v>2014</v>
      </c>
      <c r="G366" s="33">
        <f>+G345</f>
        <v>2350000</v>
      </c>
      <c r="H366" s="33">
        <f t="shared" si="44"/>
        <v>2608150.3200000003</v>
      </c>
    </row>
    <row r="367" spans="1:8" ht="33.75" x14ac:dyDescent="0.25">
      <c r="A367" s="58" t="s">
        <v>2015</v>
      </c>
      <c r="B367" s="59" t="s">
        <v>355</v>
      </c>
      <c r="C367" s="60" t="s">
        <v>356</v>
      </c>
      <c r="D367" s="76" t="s">
        <v>54</v>
      </c>
      <c r="E367" s="61" t="s">
        <v>1775</v>
      </c>
      <c r="F367" s="61" t="s">
        <v>2016</v>
      </c>
      <c r="G367" s="33">
        <f>+G366</f>
        <v>2350000</v>
      </c>
      <c r="H367" s="33">
        <f t="shared" si="44"/>
        <v>41893414.515000001</v>
      </c>
    </row>
    <row r="368" spans="1:8" ht="22.5" x14ac:dyDescent="0.25">
      <c r="A368" s="58" t="s">
        <v>1869</v>
      </c>
      <c r="B368" s="59" t="s">
        <v>359</v>
      </c>
      <c r="C368" s="60" t="s">
        <v>360</v>
      </c>
      <c r="D368" s="76" t="s">
        <v>361</v>
      </c>
      <c r="E368" s="61" t="s">
        <v>80</v>
      </c>
      <c r="F368" s="61" t="s">
        <v>2017</v>
      </c>
      <c r="G368" s="33">
        <f>+G346</f>
        <v>23000</v>
      </c>
      <c r="H368" s="33">
        <f t="shared" si="44"/>
        <v>957246.65999999992</v>
      </c>
    </row>
    <row r="369" spans="1:8" ht="22.5" x14ac:dyDescent="0.25">
      <c r="A369" s="58" t="s">
        <v>2018</v>
      </c>
      <c r="B369" s="59" t="s">
        <v>365</v>
      </c>
      <c r="C369" s="60" t="s">
        <v>366</v>
      </c>
      <c r="D369" s="76" t="s">
        <v>367</v>
      </c>
      <c r="E369" s="61" t="s">
        <v>1776</v>
      </c>
      <c r="F369" s="61" t="s">
        <v>2019</v>
      </c>
      <c r="G369" s="33">
        <f>+G347</f>
        <v>23000</v>
      </c>
      <c r="H369" s="33">
        <f t="shared" si="44"/>
        <v>20165996.304000001</v>
      </c>
    </row>
    <row r="370" spans="1:8" x14ac:dyDescent="0.25">
      <c r="A370" s="55" t="s">
        <v>288</v>
      </c>
      <c r="B370" s="56" t="s">
        <v>293</v>
      </c>
      <c r="C370" s="57" t="s">
        <v>294</v>
      </c>
      <c r="D370" s="75" t="s">
        <v>107</v>
      </c>
      <c r="E370" s="122" t="s">
        <v>2020</v>
      </c>
      <c r="F370" s="123"/>
      <c r="G370" s="33"/>
      <c r="H370" s="33">
        <f t="shared" si="44"/>
        <v>0</v>
      </c>
    </row>
    <row r="371" spans="1:8" ht="22.5" x14ac:dyDescent="0.25">
      <c r="A371" s="58" t="s">
        <v>289</v>
      </c>
      <c r="B371" s="59" t="s">
        <v>34</v>
      </c>
      <c r="C371" s="60" t="s">
        <v>35</v>
      </c>
      <c r="D371" s="76" t="s">
        <v>16</v>
      </c>
      <c r="E371" s="61" t="s">
        <v>297</v>
      </c>
      <c r="F371" s="61" t="s">
        <v>2021</v>
      </c>
      <c r="G371" s="33">
        <f>+G350</f>
        <v>26500</v>
      </c>
      <c r="H371" s="33">
        <f t="shared" si="44"/>
        <v>93502651.410000011</v>
      </c>
    </row>
    <row r="372" spans="1:8" ht="22.5" x14ac:dyDescent="0.25">
      <c r="A372" s="58" t="s">
        <v>291</v>
      </c>
      <c r="B372" s="59" t="s">
        <v>14</v>
      </c>
      <c r="C372" s="60" t="s">
        <v>15</v>
      </c>
      <c r="D372" s="76" t="s">
        <v>16</v>
      </c>
      <c r="E372" s="61" t="s">
        <v>300</v>
      </c>
      <c r="F372" s="61" t="s">
        <v>2022</v>
      </c>
      <c r="G372" s="33"/>
      <c r="H372" s="33">
        <f t="shared" si="44"/>
        <v>0</v>
      </c>
    </row>
    <row r="373" spans="1:8" ht="22.5" x14ac:dyDescent="0.25">
      <c r="A373" s="58" t="s">
        <v>1024</v>
      </c>
      <c r="B373" s="59" t="s">
        <v>303</v>
      </c>
      <c r="C373" s="60" t="s">
        <v>304</v>
      </c>
      <c r="D373" s="76" t="s">
        <v>21</v>
      </c>
      <c r="E373" s="61" t="s">
        <v>305</v>
      </c>
      <c r="F373" s="61" t="s">
        <v>2023</v>
      </c>
      <c r="G373" s="33">
        <f>+G356</f>
        <v>500</v>
      </c>
      <c r="H373" s="33">
        <f t="shared" si="44"/>
        <v>92256.381000000008</v>
      </c>
    </row>
    <row r="374" spans="1:8" ht="33.75" x14ac:dyDescent="0.25">
      <c r="A374" s="58" t="s">
        <v>1026</v>
      </c>
      <c r="B374" s="59" t="s">
        <v>308</v>
      </c>
      <c r="C374" s="60" t="s">
        <v>309</v>
      </c>
      <c r="D374" s="76" t="s">
        <v>21</v>
      </c>
      <c r="E374" s="61" t="s">
        <v>310</v>
      </c>
      <c r="F374" s="61" t="s">
        <v>2024</v>
      </c>
      <c r="G374" s="33">
        <f>+G352</f>
        <v>25300</v>
      </c>
      <c r="H374" s="33">
        <f t="shared" si="44"/>
        <v>2186670.4536600001</v>
      </c>
    </row>
    <row r="375" spans="1:8" ht="33.75" x14ac:dyDescent="0.25">
      <c r="A375" s="58" t="s">
        <v>1029</v>
      </c>
      <c r="B375" s="59" t="s">
        <v>313</v>
      </c>
      <c r="C375" s="60" t="s">
        <v>314</v>
      </c>
      <c r="D375" s="76" t="s">
        <v>21</v>
      </c>
      <c r="E375" s="61" t="s">
        <v>315</v>
      </c>
      <c r="F375" s="61" t="s">
        <v>2025</v>
      </c>
      <c r="G375" s="33">
        <f>+G354</f>
        <v>113021</v>
      </c>
      <c r="H375" s="33">
        <f t="shared" si="44"/>
        <v>878055.44732639997</v>
      </c>
    </row>
    <row r="376" spans="1:8" ht="33.75" x14ac:dyDescent="0.25">
      <c r="A376" s="58" t="s">
        <v>1030</v>
      </c>
      <c r="B376" s="59" t="s">
        <v>318</v>
      </c>
      <c r="C376" s="60" t="s">
        <v>319</v>
      </c>
      <c r="D376" s="76" t="s">
        <v>21</v>
      </c>
      <c r="E376" s="61" t="s">
        <v>320</v>
      </c>
      <c r="F376" s="61" t="s">
        <v>2026</v>
      </c>
      <c r="G376" s="33">
        <f>+G375</f>
        <v>113021</v>
      </c>
      <c r="H376" s="33">
        <f t="shared" si="44"/>
        <v>16829396.073755998</v>
      </c>
    </row>
    <row r="377" spans="1:8" ht="22.5" x14ac:dyDescent="0.25">
      <c r="A377" s="58" t="s">
        <v>1033</v>
      </c>
      <c r="B377" s="59" t="s">
        <v>323</v>
      </c>
      <c r="C377" s="60" t="s">
        <v>324</v>
      </c>
      <c r="D377" s="76" t="s">
        <v>21</v>
      </c>
      <c r="E377" s="61" t="s">
        <v>325</v>
      </c>
      <c r="F377" s="61" t="s">
        <v>2027</v>
      </c>
      <c r="G377" s="33">
        <f>+G355</f>
        <v>25000</v>
      </c>
      <c r="H377" s="33">
        <f t="shared" si="44"/>
        <v>8642966.2199999988</v>
      </c>
    </row>
    <row r="378" spans="1:8" ht="22.5" x14ac:dyDescent="0.25">
      <c r="A378" s="58" t="s">
        <v>1034</v>
      </c>
      <c r="B378" s="59" t="s">
        <v>328</v>
      </c>
      <c r="C378" s="60" t="s">
        <v>329</v>
      </c>
      <c r="D378" s="76" t="s">
        <v>21</v>
      </c>
      <c r="E378" s="61" t="s">
        <v>330</v>
      </c>
      <c r="F378" s="61" t="s">
        <v>2028</v>
      </c>
      <c r="G378" s="33">
        <f>+G338</f>
        <v>25000</v>
      </c>
      <c r="H378" s="33">
        <f t="shared" si="44"/>
        <v>1153204.7625</v>
      </c>
    </row>
    <row r="379" spans="1:8" ht="22.5" x14ac:dyDescent="0.25">
      <c r="A379" s="58" t="s">
        <v>1037</v>
      </c>
      <c r="B379" s="59" t="s">
        <v>239</v>
      </c>
      <c r="C379" s="60" t="s">
        <v>190</v>
      </c>
      <c r="D379" s="76" t="s">
        <v>21</v>
      </c>
      <c r="E379" s="61" t="s">
        <v>12</v>
      </c>
      <c r="F379" s="61" t="s">
        <v>2029</v>
      </c>
      <c r="G379" s="33">
        <f>+G357</f>
        <v>35000</v>
      </c>
      <c r="H379" s="33">
        <f t="shared" si="44"/>
        <v>815740.63199999998</v>
      </c>
    </row>
    <row r="380" spans="1:8" ht="22.5" x14ac:dyDescent="0.25">
      <c r="A380" s="58" t="s">
        <v>1038</v>
      </c>
      <c r="B380" s="59" t="s">
        <v>335</v>
      </c>
      <c r="C380" s="60" t="s">
        <v>336</v>
      </c>
      <c r="D380" s="76" t="s">
        <v>54</v>
      </c>
      <c r="E380" s="61" t="s">
        <v>337</v>
      </c>
      <c r="F380" s="61" t="s">
        <v>2030</v>
      </c>
      <c r="G380" s="33">
        <f>+G358</f>
        <v>691107.42350000003</v>
      </c>
      <c r="H380" s="33">
        <f t="shared" si="44"/>
        <v>1135358874.0519214</v>
      </c>
    </row>
    <row r="381" spans="1:8" ht="22.5" x14ac:dyDescent="0.25">
      <c r="A381" s="58" t="s">
        <v>1870</v>
      </c>
      <c r="B381" s="59" t="s">
        <v>340</v>
      </c>
      <c r="C381" s="60" t="s">
        <v>341</v>
      </c>
      <c r="D381" s="76" t="s">
        <v>54</v>
      </c>
      <c r="E381" s="61" t="s">
        <v>342</v>
      </c>
      <c r="F381" s="61" t="s">
        <v>2031</v>
      </c>
      <c r="G381" s="33"/>
      <c r="H381" s="33">
        <f t="shared" si="44"/>
        <v>0</v>
      </c>
    </row>
    <row r="382" spans="1:8" ht="22.5" x14ac:dyDescent="0.25">
      <c r="A382" s="58" t="s">
        <v>1871</v>
      </c>
      <c r="B382" s="59" t="s">
        <v>246</v>
      </c>
      <c r="C382" s="60" t="s">
        <v>194</v>
      </c>
      <c r="D382" s="76" t="s">
        <v>54</v>
      </c>
      <c r="E382" s="61" t="s">
        <v>270</v>
      </c>
      <c r="F382" s="61" t="s">
        <v>2032</v>
      </c>
      <c r="G382" s="33"/>
      <c r="H382" s="33">
        <f t="shared" si="44"/>
        <v>0</v>
      </c>
    </row>
    <row r="383" spans="1:8" ht="22.5" x14ac:dyDescent="0.25">
      <c r="A383" s="58" t="s">
        <v>1872</v>
      </c>
      <c r="B383" s="59" t="s">
        <v>249</v>
      </c>
      <c r="C383" s="60" t="s">
        <v>250</v>
      </c>
      <c r="D383" s="76" t="s">
        <v>60</v>
      </c>
      <c r="E383" s="61" t="s">
        <v>347</v>
      </c>
      <c r="F383" s="61" t="s">
        <v>2033</v>
      </c>
      <c r="G383" s="33">
        <f>+G362</f>
        <v>11500000</v>
      </c>
      <c r="H383" s="33">
        <f t="shared" si="44"/>
        <v>930656.47499999998</v>
      </c>
    </row>
    <row r="384" spans="1:8" ht="22.5" x14ac:dyDescent="0.25">
      <c r="A384" s="58" t="s">
        <v>1873</v>
      </c>
      <c r="B384" s="59" t="s">
        <v>350</v>
      </c>
      <c r="C384" s="60" t="s">
        <v>351</v>
      </c>
      <c r="D384" s="76" t="s">
        <v>60</v>
      </c>
      <c r="E384" s="61" t="s">
        <v>352</v>
      </c>
      <c r="F384" s="61" t="s">
        <v>2034</v>
      </c>
      <c r="G384" s="33">
        <f>+G363</f>
        <v>10000000</v>
      </c>
      <c r="H384" s="33">
        <f t="shared" si="44"/>
        <v>857822.49</v>
      </c>
    </row>
    <row r="385" spans="1:8" ht="33.75" x14ac:dyDescent="0.25">
      <c r="A385" s="58" t="s">
        <v>1874</v>
      </c>
      <c r="B385" s="59" t="s">
        <v>355</v>
      </c>
      <c r="C385" s="60" t="s">
        <v>356</v>
      </c>
      <c r="D385" s="76" t="s">
        <v>54</v>
      </c>
      <c r="E385" s="61" t="s">
        <v>78</v>
      </c>
      <c r="F385" s="61" t="s">
        <v>2035</v>
      </c>
      <c r="G385" s="33">
        <f>+G367</f>
        <v>2350000</v>
      </c>
      <c r="H385" s="33">
        <f t="shared" si="44"/>
        <v>7607105.0999999996</v>
      </c>
    </row>
    <row r="386" spans="1:8" ht="22.5" x14ac:dyDescent="0.25">
      <c r="A386" s="58" t="s">
        <v>1875</v>
      </c>
      <c r="B386" s="59" t="s">
        <v>359</v>
      </c>
      <c r="C386" s="60" t="s">
        <v>360</v>
      </c>
      <c r="D386" s="76" t="s">
        <v>361</v>
      </c>
      <c r="E386" s="61" t="s">
        <v>362</v>
      </c>
      <c r="F386" s="61" t="s">
        <v>2036</v>
      </c>
      <c r="G386" s="33">
        <f>+G368</f>
        <v>23000</v>
      </c>
      <c r="H386" s="33">
        <f t="shared" si="44"/>
        <v>1980436.9787999999</v>
      </c>
    </row>
    <row r="387" spans="1:8" ht="22.5" x14ac:dyDescent="0.25">
      <c r="A387" s="58" t="s">
        <v>1876</v>
      </c>
      <c r="B387" s="59" t="s">
        <v>365</v>
      </c>
      <c r="C387" s="60" t="s">
        <v>366</v>
      </c>
      <c r="D387" s="76" t="s">
        <v>367</v>
      </c>
      <c r="E387" s="61" t="s">
        <v>368</v>
      </c>
      <c r="F387" s="61" t="s">
        <v>2037</v>
      </c>
      <c r="G387" s="33">
        <f>+G369</f>
        <v>23000</v>
      </c>
      <c r="H387" s="33">
        <f t="shared" si="44"/>
        <v>6961310.4329999993</v>
      </c>
    </row>
    <row r="388" spans="1:8" ht="15" customHeight="1" x14ac:dyDescent="0.25">
      <c r="A388" s="62" t="s">
        <v>2038</v>
      </c>
      <c r="B388" s="63"/>
      <c r="C388" s="62" t="s">
        <v>2038</v>
      </c>
      <c r="D388" s="74"/>
      <c r="E388" s="63"/>
      <c r="F388" s="64"/>
      <c r="G388" s="33"/>
      <c r="H388" s="33">
        <f t="shared" si="44"/>
        <v>0</v>
      </c>
    </row>
    <row r="389" spans="1:8" ht="22.5" x14ac:dyDescent="0.25">
      <c r="A389" s="55" t="s">
        <v>292</v>
      </c>
      <c r="B389" s="56" t="s">
        <v>1760</v>
      </c>
      <c r="C389" s="57" t="s">
        <v>1761</v>
      </c>
      <c r="D389" s="75" t="s">
        <v>107</v>
      </c>
      <c r="E389" s="122" t="s">
        <v>2039</v>
      </c>
      <c r="F389" s="123"/>
      <c r="G389" s="33"/>
      <c r="H389" s="33">
        <f t="shared" si="44"/>
        <v>0</v>
      </c>
    </row>
    <row r="390" spans="1:8" ht="22.5" x14ac:dyDescent="0.25">
      <c r="A390" s="58" t="s">
        <v>296</v>
      </c>
      <c r="B390" s="59" t="s">
        <v>34</v>
      </c>
      <c r="C390" s="60" t="s">
        <v>35</v>
      </c>
      <c r="D390" s="76" t="s">
        <v>16</v>
      </c>
      <c r="E390" s="61" t="s">
        <v>1762</v>
      </c>
      <c r="F390" s="61" t="s">
        <v>2040</v>
      </c>
      <c r="G390" s="33">
        <f>+G371</f>
        <v>26500</v>
      </c>
      <c r="H390" s="33">
        <f t="shared" si="44"/>
        <v>10428581.040000001</v>
      </c>
    </row>
    <row r="391" spans="1:8" ht="22.5" x14ac:dyDescent="0.25">
      <c r="A391" s="58" t="s">
        <v>299</v>
      </c>
      <c r="B391" s="59" t="s">
        <v>14</v>
      </c>
      <c r="C391" s="60" t="s">
        <v>15</v>
      </c>
      <c r="D391" s="76" t="s">
        <v>16</v>
      </c>
      <c r="E391" s="61" t="s">
        <v>1763</v>
      </c>
      <c r="F391" s="61" t="s">
        <v>2041</v>
      </c>
      <c r="G391" s="33"/>
      <c r="H391" s="33">
        <f t="shared" si="44"/>
        <v>0</v>
      </c>
    </row>
    <row r="392" spans="1:8" ht="33.75" x14ac:dyDescent="0.25">
      <c r="A392" s="58" t="s">
        <v>302</v>
      </c>
      <c r="B392" s="59" t="s">
        <v>308</v>
      </c>
      <c r="C392" s="60" t="s">
        <v>309</v>
      </c>
      <c r="D392" s="76" t="s">
        <v>21</v>
      </c>
      <c r="E392" s="61" t="s">
        <v>1764</v>
      </c>
      <c r="F392" s="61" t="s">
        <v>2042</v>
      </c>
      <c r="G392" s="33">
        <f>+G374</f>
        <v>25300</v>
      </c>
      <c r="H392" s="33">
        <f t="shared" si="44"/>
        <v>128067.48173999999</v>
      </c>
    </row>
    <row r="393" spans="1:8" ht="33.75" x14ac:dyDescent="0.25">
      <c r="A393" s="58" t="s">
        <v>307</v>
      </c>
      <c r="B393" s="59" t="s">
        <v>313</v>
      </c>
      <c r="C393" s="60" t="s">
        <v>314</v>
      </c>
      <c r="D393" s="76" t="s">
        <v>21</v>
      </c>
      <c r="E393" s="61" t="s">
        <v>616</v>
      </c>
      <c r="F393" s="61" t="s">
        <v>2043</v>
      </c>
      <c r="G393" s="33">
        <f>+G376</f>
        <v>113021</v>
      </c>
      <c r="H393" s="33">
        <f t="shared" si="44"/>
        <v>351514.20711119997</v>
      </c>
    </row>
    <row r="394" spans="1:8" ht="33.75" x14ac:dyDescent="0.25">
      <c r="A394" s="58" t="s">
        <v>312</v>
      </c>
      <c r="B394" s="59" t="s">
        <v>318</v>
      </c>
      <c r="C394" s="60" t="s">
        <v>319</v>
      </c>
      <c r="D394" s="76" t="s">
        <v>21</v>
      </c>
      <c r="E394" s="61" t="s">
        <v>1765</v>
      </c>
      <c r="F394" s="61" t="s">
        <v>2044</v>
      </c>
      <c r="G394" s="33">
        <f>+G393</f>
        <v>113021</v>
      </c>
      <c r="H394" s="33">
        <f t="shared" si="44"/>
        <v>1199811.2477418</v>
      </c>
    </row>
    <row r="395" spans="1:8" ht="22.5" x14ac:dyDescent="0.25">
      <c r="A395" s="58" t="s">
        <v>317</v>
      </c>
      <c r="B395" s="59" t="s">
        <v>323</v>
      </c>
      <c r="C395" s="60" t="s">
        <v>324</v>
      </c>
      <c r="D395" s="76" t="s">
        <v>21</v>
      </c>
      <c r="E395" s="61" t="s">
        <v>1766</v>
      </c>
      <c r="F395" s="61" t="s">
        <v>2045</v>
      </c>
      <c r="G395" s="33">
        <f>+G377</f>
        <v>25000</v>
      </c>
      <c r="H395" s="33">
        <f t="shared" si="44"/>
        <v>279875.3775</v>
      </c>
    </row>
    <row r="396" spans="1:8" ht="22.5" x14ac:dyDescent="0.25">
      <c r="A396" s="58" t="s">
        <v>322</v>
      </c>
      <c r="B396" s="59" t="s">
        <v>1757</v>
      </c>
      <c r="C396" s="60" t="s">
        <v>1758</v>
      </c>
      <c r="D396" s="76" t="s">
        <v>21</v>
      </c>
      <c r="E396" s="61" t="s">
        <v>1767</v>
      </c>
      <c r="F396" s="61" t="s">
        <v>2046</v>
      </c>
      <c r="G396" s="33">
        <f>+G373</f>
        <v>500</v>
      </c>
      <c r="H396" s="33">
        <f t="shared" si="44"/>
        <v>4518.4699499999997</v>
      </c>
    </row>
    <row r="397" spans="1:8" ht="22.5" x14ac:dyDescent="0.25">
      <c r="A397" s="58" t="s">
        <v>327</v>
      </c>
      <c r="B397" s="59" t="s">
        <v>239</v>
      </c>
      <c r="C397" s="60" t="s">
        <v>190</v>
      </c>
      <c r="D397" s="76" t="s">
        <v>21</v>
      </c>
      <c r="E397" s="61" t="s">
        <v>1768</v>
      </c>
      <c r="F397" s="61" t="s">
        <v>2047</v>
      </c>
      <c r="G397" s="33">
        <f>+G379</f>
        <v>35000</v>
      </c>
      <c r="H397" s="33">
        <f t="shared" si="44"/>
        <v>326012.16899999999</v>
      </c>
    </row>
    <row r="398" spans="1:8" ht="22.5" x14ac:dyDescent="0.25">
      <c r="A398" s="58" t="s">
        <v>332</v>
      </c>
      <c r="B398" s="59" t="s">
        <v>335</v>
      </c>
      <c r="C398" s="60" t="s">
        <v>336</v>
      </c>
      <c r="D398" s="76" t="s">
        <v>54</v>
      </c>
      <c r="E398" s="61" t="s">
        <v>337</v>
      </c>
      <c r="F398" s="61" t="s">
        <v>2048</v>
      </c>
      <c r="G398" s="33">
        <f>+G380</f>
        <v>691107.42350000003</v>
      </c>
      <c r="H398" s="33">
        <f t="shared" si="44"/>
        <v>55655651.399232209</v>
      </c>
    </row>
    <row r="399" spans="1:8" ht="22.5" x14ac:dyDescent="0.25">
      <c r="A399" s="58" t="s">
        <v>334</v>
      </c>
      <c r="B399" s="59" t="s">
        <v>340</v>
      </c>
      <c r="C399" s="60" t="s">
        <v>341</v>
      </c>
      <c r="D399" s="76" t="s">
        <v>54</v>
      </c>
      <c r="E399" s="61" t="s">
        <v>1769</v>
      </c>
      <c r="F399" s="61" t="s">
        <v>2049</v>
      </c>
      <c r="G399" s="33"/>
      <c r="H399" s="33">
        <f t="shared" si="44"/>
        <v>0</v>
      </c>
    </row>
    <row r="400" spans="1:8" ht="22.5" x14ac:dyDescent="0.25">
      <c r="A400" s="58" t="s">
        <v>339</v>
      </c>
      <c r="B400" s="59" t="s">
        <v>246</v>
      </c>
      <c r="C400" s="60" t="s">
        <v>194</v>
      </c>
      <c r="D400" s="76" t="s">
        <v>54</v>
      </c>
      <c r="E400" s="61" t="s">
        <v>1330</v>
      </c>
      <c r="F400" s="61" t="s">
        <v>2050</v>
      </c>
      <c r="G400" s="33"/>
      <c r="H400" s="33">
        <f t="shared" si="44"/>
        <v>0</v>
      </c>
    </row>
    <row r="401" spans="1:8" ht="22.5" x14ac:dyDescent="0.25">
      <c r="A401" s="58" t="s">
        <v>344</v>
      </c>
      <c r="B401" s="59" t="s">
        <v>1796</v>
      </c>
      <c r="C401" s="60" t="s">
        <v>1032</v>
      </c>
      <c r="D401" s="76" t="s">
        <v>60</v>
      </c>
      <c r="E401" s="61" t="s">
        <v>1797</v>
      </c>
      <c r="F401" s="61" t="s">
        <v>2051</v>
      </c>
      <c r="G401" s="33">
        <f>+G518</f>
        <v>12000000</v>
      </c>
      <c r="H401" s="33">
        <f t="shared" ref="H401:H464" si="45">G401*F401</f>
        <v>695027.16</v>
      </c>
    </row>
    <row r="402" spans="1:8" ht="22.5" x14ac:dyDescent="0.25">
      <c r="A402" s="58" t="s">
        <v>346</v>
      </c>
      <c r="B402" s="59" t="s">
        <v>249</v>
      </c>
      <c r="C402" s="60" t="s">
        <v>250</v>
      </c>
      <c r="D402" s="76" t="s">
        <v>60</v>
      </c>
      <c r="E402" s="61" t="s">
        <v>1770</v>
      </c>
      <c r="F402" s="61" t="s">
        <v>2052</v>
      </c>
      <c r="G402" s="33">
        <f>+G383</f>
        <v>11500000</v>
      </c>
      <c r="H402" s="33">
        <f t="shared" si="45"/>
        <v>1204396.3799999999</v>
      </c>
    </row>
    <row r="403" spans="1:8" ht="22.5" x14ac:dyDescent="0.25">
      <c r="A403" s="58" t="s">
        <v>349</v>
      </c>
      <c r="B403" s="59" t="s">
        <v>350</v>
      </c>
      <c r="C403" s="60" t="s">
        <v>351</v>
      </c>
      <c r="D403" s="76" t="s">
        <v>60</v>
      </c>
      <c r="E403" s="61" t="s">
        <v>1771</v>
      </c>
      <c r="F403" s="61" t="s">
        <v>2053</v>
      </c>
      <c r="G403" s="33">
        <f>+G384</f>
        <v>10000000</v>
      </c>
      <c r="H403" s="33">
        <f t="shared" si="45"/>
        <v>277693.5</v>
      </c>
    </row>
    <row r="404" spans="1:8" ht="22.5" x14ac:dyDescent="0.25">
      <c r="A404" s="58" t="s">
        <v>354</v>
      </c>
      <c r="B404" s="59" t="s">
        <v>1772</v>
      </c>
      <c r="C404" s="60" t="s">
        <v>1075</v>
      </c>
      <c r="D404" s="76" t="s">
        <v>60</v>
      </c>
      <c r="E404" s="61" t="s">
        <v>140</v>
      </c>
      <c r="F404" s="61" t="s">
        <v>2054</v>
      </c>
      <c r="G404" s="33">
        <f>+G364</f>
        <v>3500000</v>
      </c>
      <c r="H404" s="33">
        <f t="shared" si="45"/>
        <v>111077.4</v>
      </c>
    </row>
    <row r="405" spans="1:8" ht="33.75" x14ac:dyDescent="0.25">
      <c r="A405" s="58" t="s">
        <v>358</v>
      </c>
      <c r="B405" s="59" t="s">
        <v>1773</v>
      </c>
      <c r="C405" s="60" t="s">
        <v>1774</v>
      </c>
      <c r="D405" s="76" t="s">
        <v>54</v>
      </c>
      <c r="E405" s="61" t="s">
        <v>55</v>
      </c>
      <c r="F405" s="61" t="s">
        <v>2055</v>
      </c>
      <c r="G405" s="33">
        <f>+G522</f>
        <v>2350000</v>
      </c>
      <c r="H405" s="33">
        <f t="shared" si="45"/>
        <v>186451.34999999998</v>
      </c>
    </row>
    <row r="406" spans="1:8" ht="33.75" x14ac:dyDescent="0.25">
      <c r="A406" s="58" t="s">
        <v>364</v>
      </c>
      <c r="B406" s="59" t="s">
        <v>1759</v>
      </c>
      <c r="C406" s="60" t="s">
        <v>1113</v>
      </c>
      <c r="D406" s="76" t="s">
        <v>54</v>
      </c>
      <c r="E406" s="61" t="s">
        <v>520</v>
      </c>
      <c r="F406" s="61" t="s">
        <v>2056</v>
      </c>
      <c r="G406" s="33">
        <f>+G385</f>
        <v>2350000</v>
      </c>
      <c r="H406" s="33">
        <f t="shared" si="45"/>
        <v>298322.15999999997</v>
      </c>
    </row>
    <row r="407" spans="1:8" ht="33.75" x14ac:dyDescent="0.25">
      <c r="A407" s="58" t="s">
        <v>2057</v>
      </c>
      <c r="B407" s="59" t="s">
        <v>355</v>
      </c>
      <c r="C407" s="60" t="s">
        <v>356</v>
      </c>
      <c r="D407" s="76" t="s">
        <v>54</v>
      </c>
      <c r="E407" s="61" t="s">
        <v>1775</v>
      </c>
      <c r="F407" s="61" t="s">
        <v>2058</v>
      </c>
      <c r="G407" s="33">
        <f>+G406</f>
        <v>2350000</v>
      </c>
      <c r="H407" s="33">
        <f t="shared" si="45"/>
        <v>4791799.6949999994</v>
      </c>
    </row>
    <row r="408" spans="1:8" ht="22.5" x14ac:dyDescent="0.25">
      <c r="A408" s="58" t="s">
        <v>2059</v>
      </c>
      <c r="B408" s="59" t="s">
        <v>359</v>
      </c>
      <c r="C408" s="60" t="s">
        <v>360</v>
      </c>
      <c r="D408" s="76" t="s">
        <v>361</v>
      </c>
      <c r="E408" s="61" t="s">
        <v>80</v>
      </c>
      <c r="F408" s="61" t="s">
        <v>2060</v>
      </c>
      <c r="G408" s="33">
        <f>+G386</f>
        <v>23000</v>
      </c>
      <c r="H408" s="33">
        <f t="shared" si="45"/>
        <v>109490.58</v>
      </c>
    </row>
    <row r="409" spans="1:8" ht="22.5" x14ac:dyDescent="0.25">
      <c r="A409" s="58" t="s">
        <v>2061</v>
      </c>
      <c r="B409" s="59" t="s">
        <v>365</v>
      </c>
      <c r="C409" s="60" t="s">
        <v>366</v>
      </c>
      <c r="D409" s="76" t="s">
        <v>367</v>
      </c>
      <c r="E409" s="61" t="s">
        <v>1776</v>
      </c>
      <c r="F409" s="61" t="s">
        <v>2062</v>
      </c>
      <c r="G409" s="33">
        <f>+G387</f>
        <v>23000</v>
      </c>
      <c r="H409" s="33">
        <f t="shared" si="45"/>
        <v>2306601.5520000001</v>
      </c>
    </row>
    <row r="410" spans="1:8" x14ac:dyDescent="0.25">
      <c r="A410" s="55" t="s">
        <v>370</v>
      </c>
      <c r="B410" s="56" t="s">
        <v>293</v>
      </c>
      <c r="C410" s="57" t="s">
        <v>294</v>
      </c>
      <c r="D410" s="75" t="s">
        <v>107</v>
      </c>
      <c r="E410" s="122" t="s">
        <v>2063</v>
      </c>
      <c r="F410" s="123"/>
      <c r="G410" s="33"/>
      <c r="H410" s="33">
        <f t="shared" si="45"/>
        <v>0</v>
      </c>
    </row>
    <row r="411" spans="1:8" ht="22.5" x14ac:dyDescent="0.25">
      <c r="A411" s="58" t="s">
        <v>374</v>
      </c>
      <c r="B411" s="59" t="s">
        <v>34</v>
      </c>
      <c r="C411" s="60" t="s">
        <v>35</v>
      </c>
      <c r="D411" s="76" t="s">
        <v>16</v>
      </c>
      <c r="E411" s="61" t="s">
        <v>297</v>
      </c>
      <c r="F411" s="61" t="s">
        <v>2064</v>
      </c>
      <c r="G411" s="33">
        <f>+G390</f>
        <v>26500</v>
      </c>
      <c r="H411" s="33">
        <f t="shared" si="45"/>
        <v>10694902.33</v>
      </c>
    </row>
    <row r="412" spans="1:8" ht="22.5" x14ac:dyDescent="0.25">
      <c r="A412" s="58" t="s">
        <v>377</v>
      </c>
      <c r="B412" s="59" t="s">
        <v>14</v>
      </c>
      <c r="C412" s="60" t="s">
        <v>15</v>
      </c>
      <c r="D412" s="76" t="s">
        <v>16</v>
      </c>
      <c r="E412" s="61" t="s">
        <v>300</v>
      </c>
      <c r="F412" s="61" t="s">
        <v>2065</v>
      </c>
      <c r="G412" s="33"/>
      <c r="H412" s="33">
        <f t="shared" si="45"/>
        <v>0</v>
      </c>
    </row>
    <row r="413" spans="1:8" ht="22.5" x14ac:dyDescent="0.25">
      <c r="A413" s="58" t="s">
        <v>380</v>
      </c>
      <c r="B413" s="59" t="s">
        <v>303</v>
      </c>
      <c r="C413" s="60" t="s">
        <v>304</v>
      </c>
      <c r="D413" s="76" t="s">
        <v>21</v>
      </c>
      <c r="E413" s="61" t="s">
        <v>305</v>
      </c>
      <c r="F413" s="61" t="s">
        <v>2066</v>
      </c>
      <c r="G413" s="33">
        <f>+G396</f>
        <v>500</v>
      </c>
      <c r="H413" s="33">
        <f t="shared" si="45"/>
        <v>10552.353000000001</v>
      </c>
    </row>
    <row r="414" spans="1:8" ht="33.75" x14ac:dyDescent="0.25">
      <c r="A414" s="58" t="s">
        <v>384</v>
      </c>
      <c r="B414" s="59" t="s">
        <v>308</v>
      </c>
      <c r="C414" s="60" t="s">
        <v>309</v>
      </c>
      <c r="D414" s="76" t="s">
        <v>21</v>
      </c>
      <c r="E414" s="61" t="s">
        <v>310</v>
      </c>
      <c r="F414" s="61" t="s">
        <v>2067</v>
      </c>
      <c r="G414" s="33">
        <f>+G392</f>
        <v>25300</v>
      </c>
      <c r="H414" s="33">
        <f t="shared" si="45"/>
        <v>250112.98157999999</v>
      </c>
    </row>
    <row r="415" spans="1:8" ht="33.75" x14ac:dyDescent="0.25">
      <c r="A415" s="58" t="s">
        <v>387</v>
      </c>
      <c r="B415" s="59" t="s">
        <v>313</v>
      </c>
      <c r="C415" s="60" t="s">
        <v>314</v>
      </c>
      <c r="D415" s="76" t="s">
        <v>21</v>
      </c>
      <c r="E415" s="61" t="s">
        <v>315</v>
      </c>
      <c r="F415" s="61" t="s">
        <v>2068</v>
      </c>
      <c r="G415" s="33">
        <f>+G394</f>
        <v>113021</v>
      </c>
      <c r="H415" s="33">
        <f t="shared" si="45"/>
        <v>100432.6306032</v>
      </c>
    </row>
    <row r="416" spans="1:8" ht="33.75" x14ac:dyDescent="0.25">
      <c r="A416" s="58" t="s">
        <v>390</v>
      </c>
      <c r="B416" s="59" t="s">
        <v>318</v>
      </c>
      <c r="C416" s="60" t="s">
        <v>319</v>
      </c>
      <c r="D416" s="76" t="s">
        <v>21</v>
      </c>
      <c r="E416" s="61" t="s">
        <v>320</v>
      </c>
      <c r="F416" s="61" t="s">
        <v>2069</v>
      </c>
      <c r="G416" s="33">
        <f>+G415</f>
        <v>113021</v>
      </c>
      <c r="H416" s="33">
        <f t="shared" si="45"/>
        <v>1924958.7532279999</v>
      </c>
    </row>
    <row r="417" spans="1:8" ht="22.5" x14ac:dyDescent="0.25">
      <c r="A417" s="58" t="s">
        <v>393</v>
      </c>
      <c r="B417" s="59" t="s">
        <v>323</v>
      </c>
      <c r="C417" s="60" t="s">
        <v>324</v>
      </c>
      <c r="D417" s="76" t="s">
        <v>21</v>
      </c>
      <c r="E417" s="61" t="s">
        <v>325</v>
      </c>
      <c r="F417" s="61" t="s">
        <v>2070</v>
      </c>
      <c r="G417" s="33">
        <f>+G395</f>
        <v>25000</v>
      </c>
      <c r="H417" s="33">
        <f t="shared" si="45"/>
        <v>988588.86</v>
      </c>
    </row>
    <row r="418" spans="1:8" ht="22.5" x14ac:dyDescent="0.25">
      <c r="A418" s="58" t="s">
        <v>396</v>
      </c>
      <c r="B418" s="59" t="s">
        <v>328</v>
      </c>
      <c r="C418" s="60" t="s">
        <v>329</v>
      </c>
      <c r="D418" s="76" t="s">
        <v>21</v>
      </c>
      <c r="E418" s="61" t="s">
        <v>330</v>
      </c>
      <c r="F418" s="61" t="s">
        <v>2071</v>
      </c>
      <c r="G418" s="33">
        <f>+G378</f>
        <v>25000</v>
      </c>
      <c r="H418" s="33">
        <f t="shared" si="45"/>
        <v>131904.41250000001</v>
      </c>
    </row>
    <row r="419" spans="1:8" ht="22.5" x14ac:dyDescent="0.25">
      <c r="A419" s="58" t="s">
        <v>399</v>
      </c>
      <c r="B419" s="59" t="s">
        <v>239</v>
      </c>
      <c r="C419" s="60" t="s">
        <v>190</v>
      </c>
      <c r="D419" s="76" t="s">
        <v>21</v>
      </c>
      <c r="E419" s="61" t="s">
        <v>12</v>
      </c>
      <c r="F419" s="61" t="s">
        <v>2072</v>
      </c>
      <c r="G419" s="33">
        <f>+G397</f>
        <v>35000</v>
      </c>
      <c r="H419" s="33">
        <f t="shared" si="45"/>
        <v>93305.015999999989</v>
      </c>
    </row>
    <row r="420" spans="1:8" ht="22.5" x14ac:dyDescent="0.25">
      <c r="A420" s="58" t="s">
        <v>403</v>
      </c>
      <c r="B420" s="59" t="s">
        <v>335</v>
      </c>
      <c r="C420" s="60" t="s">
        <v>336</v>
      </c>
      <c r="D420" s="76" t="s">
        <v>54</v>
      </c>
      <c r="E420" s="61" t="s">
        <v>337</v>
      </c>
      <c r="F420" s="61" t="s">
        <v>2073</v>
      </c>
      <c r="G420" s="33">
        <f>+G398</f>
        <v>691107.42350000003</v>
      </c>
      <c r="H420" s="33">
        <f t="shared" si="45"/>
        <v>129863186.59820847</v>
      </c>
    </row>
    <row r="421" spans="1:8" ht="22.5" x14ac:dyDescent="0.25">
      <c r="A421" s="58" t="s">
        <v>408</v>
      </c>
      <c r="B421" s="59" t="s">
        <v>340</v>
      </c>
      <c r="C421" s="60" t="s">
        <v>341</v>
      </c>
      <c r="D421" s="76" t="s">
        <v>54</v>
      </c>
      <c r="E421" s="61" t="s">
        <v>342</v>
      </c>
      <c r="F421" s="61" t="s">
        <v>2074</v>
      </c>
      <c r="G421" s="33"/>
      <c r="H421" s="33">
        <f t="shared" si="45"/>
        <v>0</v>
      </c>
    </row>
    <row r="422" spans="1:8" ht="22.5" x14ac:dyDescent="0.25">
      <c r="A422" s="58" t="s">
        <v>413</v>
      </c>
      <c r="B422" s="59" t="s">
        <v>246</v>
      </c>
      <c r="C422" s="60" t="s">
        <v>194</v>
      </c>
      <c r="D422" s="76" t="s">
        <v>54</v>
      </c>
      <c r="E422" s="61" t="s">
        <v>270</v>
      </c>
      <c r="F422" s="61" t="s">
        <v>2075</v>
      </c>
      <c r="G422" s="33"/>
      <c r="H422" s="33">
        <f t="shared" si="45"/>
        <v>0</v>
      </c>
    </row>
    <row r="423" spans="1:8" ht="22.5" x14ac:dyDescent="0.25">
      <c r="A423" s="58" t="s">
        <v>417</v>
      </c>
      <c r="B423" s="59" t="s">
        <v>249</v>
      </c>
      <c r="C423" s="60" t="s">
        <v>250</v>
      </c>
      <c r="D423" s="76" t="s">
        <v>60</v>
      </c>
      <c r="E423" s="61" t="s">
        <v>347</v>
      </c>
      <c r="F423" s="61" t="s">
        <v>2076</v>
      </c>
      <c r="G423" s="33">
        <f>+G402</f>
        <v>11500000</v>
      </c>
      <c r="H423" s="33">
        <f t="shared" si="45"/>
        <v>106449.17499999999</v>
      </c>
    </row>
    <row r="424" spans="1:8" ht="22.5" x14ac:dyDescent="0.25">
      <c r="A424" s="58" t="s">
        <v>422</v>
      </c>
      <c r="B424" s="59" t="s">
        <v>350</v>
      </c>
      <c r="C424" s="60" t="s">
        <v>351</v>
      </c>
      <c r="D424" s="76" t="s">
        <v>60</v>
      </c>
      <c r="E424" s="61" t="s">
        <v>352</v>
      </c>
      <c r="F424" s="61" t="s">
        <v>2077</v>
      </c>
      <c r="G424" s="33">
        <f>+G403</f>
        <v>10000000</v>
      </c>
      <c r="H424" s="33">
        <f t="shared" si="45"/>
        <v>98118.37000000001</v>
      </c>
    </row>
    <row r="425" spans="1:8" ht="33.75" x14ac:dyDescent="0.25">
      <c r="A425" s="58" t="s">
        <v>2078</v>
      </c>
      <c r="B425" s="59" t="s">
        <v>355</v>
      </c>
      <c r="C425" s="60" t="s">
        <v>356</v>
      </c>
      <c r="D425" s="76" t="s">
        <v>54</v>
      </c>
      <c r="E425" s="61" t="s">
        <v>78</v>
      </c>
      <c r="F425" s="61" t="s">
        <v>2079</v>
      </c>
      <c r="G425" s="33">
        <f>+G407</f>
        <v>2350000</v>
      </c>
      <c r="H425" s="33">
        <f t="shared" si="45"/>
        <v>870106.29999999993</v>
      </c>
    </row>
    <row r="426" spans="1:8" ht="22.5" x14ac:dyDescent="0.25">
      <c r="A426" s="58" t="s">
        <v>2080</v>
      </c>
      <c r="B426" s="59" t="s">
        <v>359</v>
      </c>
      <c r="C426" s="60" t="s">
        <v>360</v>
      </c>
      <c r="D426" s="76" t="s">
        <v>361</v>
      </c>
      <c r="E426" s="61" t="s">
        <v>362</v>
      </c>
      <c r="F426" s="61" t="s">
        <v>2081</v>
      </c>
      <c r="G426" s="33">
        <f>+G408</f>
        <v>23000</v>
      </c>
      <c r="H426" s="33">
        <f t="shared" si="45"/>
        <v>226523.84439999997</v>
      </c>
    </row>
    <row r="427" spans="1:8" ht="22.5" x14ac:dyDescent="0.25">
      <c r="A427" s="58" t="s">
        <v>2082</v>
      </c>
      <c r="B427" s="59" t="s">
        <v>365</v>
      </c>
      <c r="C427" s="60" t="s">
        <v>366</v>
      </c>
      <c r="D427" s="76" t="s">
        <v>367</v>
      </c>
      <c r="E427" s="61" t="s">
        <v>368</v>
      </c>
      <c r="F427" s="61" t="s">
        <v>2083</v>
      </c>
      <c r="G427" s="33">
        <f>+G409</f>
        <v>23000</v>
      </c>
      <c r="H427" s="33">
        <f t="shared" si="45"/>
        <v>796239.82900000003</v>
      </c>
    </row>
    <row r="428" spans="1:8" x14ac:dyDescent="0.25">
      <c r="A428" s="55" t="s">
        <v>427</v>
      </c>
      <c r="B428" s="56" t="s">
        <v>2084</v>
      </c>
      <c r="C428" s="57" t="s">
        <v>2085</v>
      </c>
      <c r="D428" s="75" t="s">
        <v>1777</v>
      </c>
      <c r="E428" s="122" t="s">
        <v>2086</v>
      </c>
      <c r="F428" s="123"/>
      <c r="G428" s="33"/>
      <c r="H428" s="33">
        <f t="shared" si="45"/>
        <v>0</v>
      </c>
    </row>
    <row r="429" spans="1:8" x14ac:dyDescent="0.25">
      <c r="A429" s="58" t="s">
        <v>1879</v>
      </c>
      <c r="B429" s="59" t="s">
        <v>34</v>
      </c>
      <c r="C429" s="60" t="s">
        <v>35</v>
      </c>
      <c r="D429" s="76" t="s">
        <v>16</v>
      </c>
      <c r="E429" s="61" t="s">
        <v>2087</v>
      </c>
      <c r="F429" s="61" t="s">
        <v>2088</v>
      </c>
      <c r="G429" s="33">
        <f>+G411</f>
        <v>26500</v>
      </c>
      <c r="H429" s="33">
        <f t="shared" si="45"/>
        <v>137105620.5</v>
      </c>
    </row>
    <row r="430" spans="1:8" x14ac:dyDescent="0.25">
      <c r="A430" s="58" t="s">
        <v>1880</v>
      </c>
      <c r="B430" s="59" t="s">
        <v>14</v>
      </c>
      <c r="C430" s="60" t="s">
        <v>15</v>
      </c>
      <c r="D430" s="76" t="s">
        <v>16</v>
      </c>
      <c r="E430" s="61" t="s">
        <v>2089</v>
      </c>
      <c r="F430" s="61" t="s">
        <v>2090</v>
      </c>
      <c r="G430" s="33"/>
      <c r="H430" s="33">
        <f t="shared" si="45"/>
        <v>0</v>
      </c>
    </row>
    <row r="431" spans="1:8" ht="33.75" x14ac:dyDescent="0.25">
      <c r="A431" s="58" t="s">
        <v>1881</v>
      </c>
      <c r="B431" s="59" t="s">
        <v>381</v>
      </c>
      <c r="C431" s="60" t="s">
        <v>382</v>
      </c>
      <c r="D431" s="76" t="s">
        <v>21</v>
      </c>
      <c r="E431" s="61" t="s">
        <v>2091</v>
      </c>
      <c r="F431" s="61" t="s">
        <v>2092</v>
      </c>
      <c r="G431" s="33">
        <f>+G130</f>
        <v>11500</v>
      </c>
      <c r="H431" s="33">
        <f t="shared" si="45"/>
        <v>3637473.0000000005</v>
      </c>
    </row>
    <row r="432" spans="1:8" ht="33.75" x14ac:dyDescent="0.25">
      <c r="A432" s="58" t="s">
        <v>1882</v>
      </c>
      <c r="B432" s="59" t="s">
        <v>318</v>
      </c>
      <c r="C432" s="60" t="s">
        <v>319</v>
      </c>
      <c r="D432" s="76" t="s">
        <v>21</v>
      </c>
      <c r="E432" s="61" t="s">
        <v>2093</v>
      </c>
      <c r="F432" s="61" t="s">
        <v>2094</v>
      </c>
      <c r="G432" s="33">
        <f>+G416</f>
        <v>113021</v>
      </c>
      <c r="H432" s="33">
        <f t="shared" si="45"/>
        <v>89542153.085199997</v>
      </c>
    </row>
    <row r="433" spans="1:8" ht="22.5" x14ac:dyDescent="0.25">
      <c r="A433" s="58" t="s">
        <v>1883</v>
      </c>
      <c r="B433" s="59" t="s">
        <v>239</v>
      </c>
      <c r="C433" s="60" t="s">
        <v>190</v>
      </c>
      <c r="D433" s="76" t="s">
        <v>21</v>
      </c>
      <c r="E433" s="61" t="s">
        <v>104</v>
      </c>
      <c r="F433" s="61" t="s">
        <v>2095</v>
      </c>
      <c r="G433" s="33">
        <f>+G419</f>
        <v>35000</v>
      </c>
      <c r="H433" s="33">
        <f t="shared" si="45"/>
        <v>421736</v>
      </c>
    </row>
    <row r="434" spans="1:8" ht="22.5" x14ac:dyDescent="0.25">
      <c r="A434" s="58" t="s">
        <v>1884</v>
      </c>
      <c r="B434" s="59" t="s">
        <v>2096</v>
      </c>
      <c r="C434" s="60" t="s">
        <v>2097</v>
      </c>
      <c r="D434" s="76" t="s">
        <v>60</v>
      </c>
      <c r="E434" s="61" t="s">
        <v>682</v>
      </c>
      <c r="F434" s="61" t="s">
        <v>2098</v>
      </c>
      <c r="G434" s="33">
        <f>+G165</f>
        <v>8500000</v>
      </c>
      <c r="H434" s="33">
        <f t="shared" si="45"/>
        <v>1280270000</v>
      </c>
    </row>
    <row r="435" spans="1:8" x14ac:dyDescent="0.25">
      <c r="A435" s="58" t="s">
        <v>1885</v>
      </c>
      <c r="B435" s="59" t="s">
        <v>400</v>
      </c>
      <c r="C435" s="60" t="s">
        <v>401</v>
      </c>
      <c r="D435" s="76" t="s">
        <v>60</v>
      </c>
      <c r="E435" s="61" t="s">
        <v>1900</v>
      </c>
      <c r="F435" s="61" t="s">
        <v>2099</v>
      </c>
      <c r="G435" s="33">
        <f>+G136</f>
        <v>3500000</v>
      </c>
      <c r="H435" s="33">
        <f t="shared" si="45"/>
        <v>3321171</v>
      </c>
    </row>
    <row r="436" spans="1:8" x14ac:dyDescent="0.25">
      <c r="A436" s="58" t="s">
        <v>1886</v>
      </c>
      <c r="B436" s="59" t="s">
        <v>404</v>
      </c>
      <c r="C436" s="60" t="s">
        <v>405</v>
      </c>
      <c r="D436" s="76" t="s">
        <v>60</v>
      </c>
      <c r="E436" s="61" t="s">
        <v>1857</v>
      </c>
      <c r="F436" s="61" t="s">
        <v>2100</v>
      </c>
      <c r="G436" s="33">
        <f>+G166</f>
        <v>22500000</v>
      </c>
      <c r="H436" s="33">
        <f t="shared" si="45"/>
        <v>4744530</v>
      </c>
    </row>
    <row r="437" spans="1:8" ht="15" customHeight="1" x14ac:dyDescent="0.25">
      <c r="B437" s="63"/>
      <c r="C437" s="62" t="s">
        <v>2101</v>
      </c>
      <c r="D437" s="74"/>
      <c r="E437" s="63"/>
      <c r="F437" s="64"/>
      <c r="G437" s="33"/>
      <c r="H437" s="33">
        <f t="shared" si="45"/>
        <v>0</v>
      </c>
    </row>
    <row r="438" spans="1:8" ht="22.5" x14ac:dyDescent="0.25">
      <c r="A438" s="55" t="s">
        <v>431</v>
      </c>
      <c r="B438" s="56" t="s">
        <v>1799</v>
      </c>
      <c r="C438" s="57" t="s">
        <v>1800</v>
      </c>
      <c r="D438" s="75" t="s">
        <v>107</v>
      </c>
      <c r="E438" s="122" t="s">
        <v>2102</v>
      </c>
      <c r="F438" s="123"/>
      <c r="G438" s="33"/>
      <c r="H438" s="33">
        <f t="shared" si="45"/>
        <v>0</v>
      </c>
    </row>
    <row r="439" spans="1:8" x14ac:dyDescent="0.25">
      <c r="A439" s="58" t="s">
        <v>1051</v>
      </c>
      <c r="B439" s="59" t="s">
        <v>34</v>
      </c>
      <c r="C439" s="60" t="s">
        <v>35</v>
      </c>
      <c r="D439" s="76" t="s">
        <v>16</v>
      </c>
      <c r="E439" s="61" t="s">
        <v>1801</v>
      </c>
      <c r="F439" s="61" t="s">
        <v>2103</v>
      </c>
      <c r="G439" s="33">
        <f>+G429</f>
        <v>26500</v>
      </c>
      <c r="H439" s="33">
        <f t="shared" si="45"/>
        <v>9077158.9499999993</v>
      </c>
    </row>
    <row r="440" spans="1:8" ht="22.5" x14ac:dyDescent="0.25">
      <c r="A440" s="58" t="s">
        <v>1052</v>
      </c>
      <c r="B440" s="59" t="s">
        <v>14</v>
      </c>
      <c r="C440" s="60" t="s">
        <v>15</v>
      </c>
      <c r="D440" s="76" t="s">
        <v>16</v>
      </c>
      <c r="E440" s="61" t="s">
        <v>1802</v>
      </c>
      <c r="F440" s="61" t="s">
        <v>2104</v>
      </c>
      <c r="G440" s="33"/>
      <c r="H440" s="33">
        <f t="shared" si="45"/>
        <v>0</v>
      </c>
    </row>
    <row r="441" spans="1:8" ht="33.75" x14ac:dyDescent="0.25">
      <c r="A441" s="58" t="s">
        <v>1053</v>
      </c>
      <c r="B441" s="59" t="s">
        <v>318</v>
      </c>
      <c r="C441" s="60" t="s">
        <v>319</v>
      </c>
      <c r="D441" s="76" t="s">
        <v>21</v>
      </c>
      <c r="E441" s="61" t="s">
        <v>1802</v>
      </c>
      <c r="F441" s="61" t="s">
        <v>2104</v>
      </c>
      <c r="G441" s="33">
        <f>+G432</f>
        <v>113021</v>
      </c>
      <c r="H441" s="33">
        <f t="shared" si="45"/>
        <v>2557705.4654759998</v>
      </c>
    </row>
    <row r="442" spans="1:8" x14ac:dyDescent="0.25">
      <c r="A442" s="58" t="s">
        <v>1054</v>
      </c>
      <c r="B442" s="59" t="s">
        <v>1803</v>
      </c>
      <c r="C442" s="60" t="s">
        <v>1804</v>
      </c>
      <c r="D442" s="76" t="s">
        <v>54</v>
      </c>
      <c r="E442" s="61" t="s">
        <v>1805</v>
      </c>
      <c r="F442" s="61" t="s">
        <v>2105</v>
      </c>
      <c r="G442" s="32">
        <v>125000</v>
      </c>
      <c r="H442" s="33">
        <f t="shared" si="45"/>
        <v>49552012.5</v>
      </c>
    </row>
    <row r="443" spans="1:8" ht="33.75" x14ac:dyDescent="0.25">
      <c r="A443" s="55" t="s">
        <v>435</v>
      </c>
      <c r="B443" s="56" t="s">
        <v>510</v>
      </c>
      <c r="C443" s="57" t="s">
        <v>511</v>
      </c>
      <c r="D443" s="75" t="s">
        <v>512</v>
      </c>
      <c r="E443" s="122" t="s">
        <v>2106</v>
      </c>
      <c r="F443" s="123"/>
      <c r="G443" s="33"/>
      <c r="H443" s="33">
        <f t="shared" si="45"/>
        <v>0</v>
      </c>
    </row>
    <row r="444" spans="1:8" ht="22.5" x14ac:dyDescent="0.25">
      <c r="A444" s="58" t="s">
        <v>1087</v>
      </c>
      <c r="B444" s="59" t="s">
        <v>34</v>
      </c>
      <c r="C444" s="60" t="s">
        <v>35</v>
      </c>
      <c r="D444" s="76" t="s">
        <v>16</v>
      </c>
      <c r="E444" s="61" t="s">
        <v>515</v>
      </c>
      <c r="F444" s="61" t="s">
        <v>2107</v>
      </c>
      <c r="G444" s="33">
        <f>+G439</f>
        <v>26500</v>
      </c>
      <c r="H444" s="33">
        <f t="shared" si="45"/>
        <v>35795074.280000001</v>
      </c>
    </row>
    <row r="445" spans="1:8" x14ac:dyDescent="0.25">
      <c r="A445" s="58" t="s">
        <v>1088</v>
      </c>
      <c r="B445" s="59" t="s">
        <v>518</v>
      </c>
      <c r="C445" s="60" t="s">
        <v>519</v>
      </c>
      <c r="D445" s="76" t="s">
        <v>21</v>
      </c>
      <c r="E445" s="61" t="s">
        <v>520</v>
      </c>
      <c r="F445" s="61" t="s">
        <v>2108</v>
      </c>
      <c r="G445" s="33">
        <f>+G184</f>
        <v>4000</v>
      </c>
      <c r="H445" s="33">
        <f t="shared" si="45"/>
        <v>16128.447999999999</v>
      </c>
    </row>
    <row r="446" spans="1:8" x14ac:dyDescent="0.25">
      <c r="A446" s="58" t="s">
        <v>1089</v>
      </c>
      <c r="B446" s="59" t="s">
        <v>522</v>
      </c>
      <c r="C446" s="60" t="s">
        <v>523</v>
      </c>
      <c r="D446" s="76" t="s">
        <v>524</v>
      </c>
      <c r="E446" s="61" t="s">
        <v>525</v>
      </c>
      <c r="F446" s="61" t="s">
        <v>2109</v>
      </c>
      <c r="G446" s="33"/>
      <c r="H446" s="33">
        <f t="shared" si="45"/>
        <v>0</v>
      </c>
    </row>
    <row r="447" spans="1:8" x14ac:dyDescent="0.25">
      <c r="A447" s="55" t="s">
        <v>439</v>
      </c>
      <c r="B447" s="56" t="s">
        <v>528</v>
      </c>
      <c r="C447" s="57" t="s">
        <v>529</v>
      </c>
      <c r="D447" s="75" t="s">
        <v>530</v>
      </c>
      <c r="E447" s="122" t="s">
        <v>2110</v>
      </c>
      <c r="F447" s="123"/>
      <c r="G447" s="33"/>
      <c r="H447" s="33">
        <f t="shared" si="45"/>
        <v>0</v>
      </c>
    </row>
    <row r="448" spans="1:8" ht="22.5" x14ac:dyDescent="0.25">
      <c r="A448" s="58" t="s">
        <v>443</v>
      </c>
      <c r="B448" s="59" t="s">
        <v>34</v>
      </c>
      <c r="C448" s="60" t="s">
        <v>35</v>
      </c>
      <c r="D448" s="76" t="s">
        <v>16</v>
      </c>
      <c r="E448" s="61" t="s">
        <v>533</v>
      </c>
      <c r="F448" s="61" t="s">
        <v>2111</v>
      </c>
      <c r="G448" s="33">
        <f>+G444</f>
        <v>26500</v>
      </c>
      <c r="H448" s="33">
        <f t="shared" si="45"/>
        <v>77199.2117</v>
      </c>
    </row>
    <row r="449" spans="1:8" ht="22.5" x14ac:dyDescent="0.25">
      <c r="A449" s="58" t="s">
        <v>446</v>
      </c>
      <c r="B449" s="59" t="s">
        <v>14</v>
      </c>
      <c r="C449" s="60" t="s">
        <v>15</v>
      </c>
      <c r="D449" s="76" t="s">
        <v>16</v>
      </c>
      <c r="E449" s="61" t="s">
        <v>536</v>
      </c>
      <c r="F449" s="61" t="s">
        <v>2112</v>
      </c>
      <c r="G449" s="33"/>
      <c r="H449" s="33">
        <f t="shared" si="45"/>
        <v>0</v>
      </c>
    </row>
    <row r="450" spans="1:8" ht="22.5" x14ac:dyDescent="0.25">
      <c r="A450" s="58" t="s">
        <v>449</v>
      </c>
      <c r="B450" s="59" t="s">
        <v>539</v>
      </c>
      <c r="C450" s="60" t="s">
        <v>540</v>
      </c>
      <c r="D450" s="76" t="s">
        <v>21</v>
      </c>
      <c r="E450" s="61" t="s">
        <v>541</v>
      </c>
      <c r="F450" s="61" t="s">
        <v>2113</v>
      </c>
      <c r="G450" s="33">
        <f>+G441</f>
        <v>113021</v>
      </c>
      <c r="H450" s="33">
        <f t="shared" si="45"/>
        <v>18798.025689300001</v>
      </c>
    </row>
    <row r="451" spans="1:8" x14ac:dyDescent="0.25">
      <c r="A451" s="58" t="s">
        <v>452</v>
      </c>
      <c r="B451" s="59" t="s">
        <v>544</v>
      </c>
      <c r="C451" s="60" t="s">
        <v>545</v>
      </c>
      <c r="D451" s="76" t="s">
        <v>21</v>
      </c>
      <c r="E451" s="61" t="s">
        <v>546</v>
      </c>
      <c r="F451" s="61" t="s">
        <v>2114</v>
      </c>
      <c r="G451" s="33">
        <f>+G445</f>
        <v>4000</v>
      </c>
      <c r="H451" s="33">
        <f t="shared" si="45"/>
        <v>3628.8719999999998</v>
      </c>
    </row>
    <row r="452" spans="1:8" ht="22.5" x14ac:dyDescent="0.25">
      <c r="A452" s="58" t="s">
        <v>455</v>
      </c>
      <c r="B452" s="59" t="s">
        <v>549</v>
      </c>
      <c r="C452" s="60" t="s">
        <v>550</v>
      </c>
      <c r="D452" s="76" t="s">
        <v>21</v>
      </c>
      <c r="E452" s="61" t="s">
        <v>551</v>
      </c>
      <c r="F452" s="61" t="s">
        <v>2115</v>
      </c>
      <c r="G452" s="33"/>
      <c r="H452" s="33">
        <f t="shared" si="45"/>
        <v>0</v>
      </c>
    </row>
    <row r="453" spans="1:8" ht="22.5" x14ac:dyDescent="0.25">
      <c r="A453" s="58" t="s">
        <v>457</v>
      </c>
      <c r="B453" s="59" t="s">
        <v>239</v>
      </c>
      <c r="C453" s="60" t="s">
        <v>190</v>
      </c>
      <c r="D453" s="76" t="s">
        <v>21</v>
      </c>
      <c r="E453" s="61" t="s">
        <v>554</v>
      </c>
      <c r="F453" s="61" t="s">
        <v>2116</v>
      </c>
      <c r="G453" s="33">
        <f>+G433</f>
        <v>35000</v>
      </c>
      <c r="H453" s="33">
        <f t="shared" si="45"/>
        <v>8820.1749999999993</v>
      </c>
    </row>
    <row r="454" spans="1:8" ht="22.5" x14ac:dyDescent="0.25">
      <c r="A454" s="58" t="s">
        <v>2117</v>
      </c>
      <c r="B454" s="59" t="s">
        <v>557</v>
      </c>
      <c r="C454" s="60" t="s">
        <v>558</v>
      </c>
      <c r="D454" s="76" t="s">
        <v>60</v>
      </c>
      <c r="E454" s="61" t="s">
        <v>559</v>
      </c>
      <c r="F454" s="61" t="s">
        <v>2118</v>
      </c>
      <c r="G454" s="33">
        <f>+G187</f>
        <v>4500000</v>
      </c>
      <c r="H454" s="33">
        <f t="shared" si="45"/>
        <v>725774.39999999991</v>
      </c>
    </row>
    <row r="455" spans="1:8" ht="22.5" x14ac:dyDescent="0.25">
      <c r="A455" s="58" t="s">
        <v>2119</v>
      </c>
      <c r="B455" s="59" t="s">
        <v>562</v>
      </c>
      <c r="C455" s="60" t="s">
        <v>563</v>
      </c>
      <c r="D455" s="76" t="s">
        <v>60</v>
      </c>
      <c r="E455" s="61" t="s">
        <v>564</v>
      </c>
      <c r="F455" s="61" t="s">
        <v>2120</v>
      </c>
      <c r="G455" s="33">
        <f>+G188</f>
        <v>1500000</v>
      </c>
      <c r="H455" s="33">
        <f t="shared" si="45"/>
        <v>544330.80000000005</v>
      </c>
    </row>
    <row r="456" spans="1:8" x14ac:dyDescent="0.25">
      <c r="A456" s="55" t="s">
        <v>460</v>
      </c>
      <c r="B456" s="56" t="s">
        <v>567</v>
      </c>
      <c r="C456" s="57" t="s">
        <v>568</v>
      </c>
      <c r="D456" s="75" t="s">
        <v>530</v>
      </c>
      <c r="E456" s="122" t="s">
        <v>2121</v>
      </c>
      <c r="F456" s="123"/>
      <c r="G456" s="33"/>
      <c r="H456" s="33">
        <f t="shared" si="45"/>
        <v>0</v>
      </c>
    </row>
    <row r="457" spans="1:8" ht="22.5" x14ac:dyDescent="0.25">
      <c r="A457" s="58" t="s">
        <v>1121</v>
      </c>
      <c r="B457" s="59" t="s">
        <v>34</v>
      </c>
      <c r="C457" s="60" t="s">
        <v>35</v>
      </c>
      <c r="D457" s="76" t="s">
        <v>16</v>
      </c>
      <c r="E457" s="61" t="s">
        <v>571</v>
      </c>
      <c r="F457" s="61" t="s">
        <v>2122</v>
      </c>
      <c r="G457" s="33">
        <f>+G448</f>
        <v>26500</v>
      </c>
      <c r="H457" s="33">
        <f t="shared" si="45"/>
        <v>2239997.8405999998</v>
      </c>
    </row>
    <row r="458" spans="1:8" ht="22.5" x14ac:dyDescent="0.25">
      <c r="A458" s="58" t="s">
        <v>1122</v>
      </c>
      <c r="B458" s="59" t="s">
        <v>14</v>
      </c>
      <c r="C458" s="60" t="s">
        <v>15</v>
      </c>
      <c r="D458" s="76" t="s">
        <v>16</v>
      </c>
      <c r="E458" s="61" t="s">
        <v>574</v>
      </c>
      <c r="F458" s="61" t="s">
        <v>2123</v>
      </c>
      <c r="G458" s="33"/>
      <c r="H458" s="33">
        <f t="shared" si="45"/>
        <v>0</v>
      </c>
    </row>
    <row r="459" spans="1:8" ht="22.5" x14ac:dyDescent="0.25">
      <c r="A459" s="58" t="s">
        <v>1123</v>
      </c>
      <c r="B459" s="59" t="s">
        <v>539</v>
      </c>
      <c r="C459" s="60" t="s">
        <v>540</v>
      </c>
      <c r="D459" s="76" t="s">
        <v>21</v>
      </c>
      <c r="E459" s="61" t="s">
        <v>541</v>
      </c>
      <c r="F459" s="61" t="s">
        <v>2124</v>
      </c>
      <c r="G459" s="33">
        <f>+G450</f>
        <v>113021</v>
      </c>
      <c r="H459" s="33">
        <f t="shared" si="45"/>
        <v>291371.82248459995</v>
      </c>
    </row>
    <row r="460" spans="1:8" ht="22.5" x14ac:dyDescent="0.25">
      <c r="A460" s="58" t="s">
        <v>1126</v>
      </c>
      <c r="B460" s="59" t="s">
        <v>544</v>
      </c>
      <c r="C460" s="60" t="s">
        <v>545</v>
      </c>
      <c r="D460" s="76" t="s">
        <v>21</v>
      </c>
      <c r="E460" s="61" t="s">
        <v>579</v>
      </c>
      <c r="F460" s="61" t="s">
        <v>2125</v>
      </c>
      <c r="G460" s="33">
        <f>+G451</f>
        <v>4000</v>
      </c>
      <c r="H460" s="33">
        <f t="shared" si="45"/>
        <v>130932.80720000001</v>
      </c>
    </row>
    <row r="461" spans="1:8" ht="22.5" x14ac:dyDescent="0.25">
      <c r="A461" s="58" t="s">
        <v>1127</v>
      </c>
      <c r="B461" s="59" t="s">
        <v>549</v>
      </c>
      <c r="C461" s="60" t="s">
        <v>550</v>
      </c>
      <c r="D461" s="76" t="s">
        <v>21</v>
      </c>
      <c r="E461" s="61" t="s">
        <v>582</v>
      </c>
      <c r="F461" s="61" t="s">
        <v>2126</v>
      </c>
      <c r="G461" s="33"/>
      <c r="H461" s="33">
        <f t="shared" si="45"/>
        <v>0</v>
      </c>
    </row>
    <row r="462" spans="1:8" ht="22.5" x14ac:dyDescent="0.25">
      <c r="A462" s="58" t="s">
        <v>1128</v>
      </c>
      <c r="B462" s="59" t="s">
        <v>239</v>
      </c>
      <c r="C462" s="60" t="s">
        <v>190</v>
      </c>
      <c r="D462" s="76" t="s">
        <v>21</v>
      </c>
      <c r="E462" s="61" t="s">
        <v>554</v>
      </c>
      <c r="F462" s="61" t="s">
        <v>2127</v>
      </c>
      <c r="G462" s="33">
        <f>+G453</f>
        <v>35000</v>
      </c>
      <c r="H462" s="33">
        <f t="shared" si="45"/>
        <v>136713.85</v>
      </c>
    </row>
    <row r="463" spans="1:8" ht="22.5" x14ac:dyDescent="0.25">
      <c r="A463" s="58" t="s">
        <v>1129</v>
      </c>
      <c r="B463" s="59" t="s">
        <v>557</v>
      </c>
      <c r="C463" s="60" t="s">
        <v>558</v>
      </c>
      <c r="D463" s="76" t="s">
        <v>60</v>
      </c>
      <c r="E463" s="61" t="s">
        <v>587</v>
      </c>
      <c r="F463" s="61" t="s">
        <v>2128</v>
      </c>
      <c r="G463" s="33">
        <f>+G454</f>
        <v>4500000</v>
      </c>
      <c r="H463" s="33">
        <f t="shared" si="45"/>
        <v>26014692.599999998</v>
      </c>
    </row>
    <row r="464" spans="1:8" ht="22.5" x14ac:dyDescent="0.25">
      <c r="A464" s="58" t="s">
        <v>1130</v>
      </c>
      <c r="B464" s="59" t="s">
        <v>562</v>
      </c>
      <c r="C464" s="60" t="s">
        <v>563</v>
      </c>
      <c r="D464" s="76" t="s">
        <v>60</v>
      </c>
      <c r="E464" s="61" t="s">
        <v>590</v>
      </c>
      <c r="F464" s="61" t="s">
        <v>2129</v>
      </c>
      <c r="G464" s="33">
        <f>+G455</f>
        <v>1500000</v>
      </c>
      <c r="H464" s="33">
        <f t="shared" si="45"/>
        <v>3632682.3</v>
      </c>
    </row>
    <row r="465" spans="1:8" ht="33.75" x14ac:dyDescent="0.25">
      <c r="A465" s="55" t="s">
        <v>464</v>
      </c>
      <c r="B465" s="56" t="s">
        <v>1887</v>
      </c>
      <c r="C465" s="57" t="s">
        <v>1888</v>
      </c>
      <c r="D465" s="75" t="s">
        <v>512</v>
      </c>
      <c r="E465" s="122" t="s">
        <v>2130</v>
      </c>
      <c r="F465" s="123"/>
      <c r="G465" s="33"/>
      <c r="H465" s="33">
        <f t="shared" ref="H465:H525" si="46">G465*F465</f>
        <v>0</v>
      </c>
    </row>
    <row r="466" spans="1:8" x14ac:dyDescent="0.25">
      <c r="A466" s="58" t="s">
        <v>467</v>
      </c>
      <c r="B466" s="59" t="s">
        <v>34</v>
      </c>
      <c r="C466" s="60" t="s">
        <v>35</v>
      </c>
      <c r="D466" s="76" t="s">
        <v>16</v>
      </c>
      <c r="E466" s="61" t="s">
        <v>1889</v>
      </c>
      <c r="F466" s="61" t="s">
        <v>2131</v>
      </c>
      <c r="G466" s="33">
        <f>+G457</f>
        <v>26500</v>
      </c>
      <c r="H466" s="33">
        <f t="shared" si="46"/>
        <v>2910654</v>
      </c>
    </row>
    <row r="467" spans="1:8" x14ac:dyDescent="0.25">
      <c r="A467" s="58" t="s">
        <v>470</v>
      </c>
      <c r="B467" s="59" t="s">
        <v>14</v>
      </c>
      <c r="C467" s="60" t="s">
        <v>15</v>
      </c>
      <c r="D467" s="76" t="s">
        <v>16</v>
      </c>
      <c r="E467" s="61" t="s">
        <v>1890</v>
      </c>
      <c r="F467" s="61" t="s">
        <v>2132</v>
      </c>
      <c r="G467" s="33"/>
      <c r="H467" s="33">
        <f t="shared" si="46"/>
        <v>0</v>
      </c>
    </row>
    <row r="468" spans="1:8" ht="22.5" x14ac:dyDescent="0.25">
      <c r="A468" s="58" t="s">
        <v>473</v>
      </c>
      <c r="B468" s="59" t="s">
        <v>539</v>
      </c>
      <c r="C468" s="60" t="s">
        <v>540</v>
      </c>
      <c r="D468" s="76" t="s">
        <v>21</v>
      </c>
      <c r="E468" s="61" t="s">
        <v>140</v>
      </c>
      <c r="F468" s="61" t="s">
        <v>565</v>
      </c>
      <c r="G468" s="33">
        <f>+G459</f>
        <v>113021</v>
      </c>
      <c r="H468" s="33">
        <f t="shared" si="46"/>
        <v>2441.2536</v>
      </c>
    </row>
    <row r="469" spans="1:8" x14ac:dyDescent="0.25">
      <c r="A469" s="58" t="s">
        <v>474</v>
      </c>
      <c r="B469" s="59" t="s">
        <v>518</v>
      </c>
      <c r="C469" s="60" t="s">
        <v>519</v>
      </c>
      <c r="D469" s="76" t="s">
        <v>21</v>
      </c>
      <c r="E469" s="61" t="s">
        <v>520</v>
      </c>
      <c r="F469" s="61" t="s">
        <v>108</v>
      </c>
      <c r="G469" s="33">
        <f>+G460</f>
        <v>4000</v>
      </c>
      <c r="H469" s="33">
        <f t="shared" si="46"/>
        <v>345.6</v>
      </c>
    </row>
    <row r="470" spans="1:8" ht="22.5" x14ac:dyDescent="0.25">
      <c r="A470" s="58" t="s">
        <v>479</v>
      </c>
      <c r="B470" s="59" t="s">
        <v>2133</v>
      </c>
      <c r="C470" s="60" t="s">
        <v>1891</v>
      </c>
      <c r="D470" s="76" t="s">
        <v>21</v>
      </c>
      <c r="E470" s="61" t="s">
        <v>587</v>
      </c>
      <c r="F470" s="61" t="s">
        <v>2134</v>
      </c>
      <c r="G470" s="33"/>
      <c r="H470" s="33">
        <f t="shared" si="46"/>
        <v>0</v>
      </c>
    </row>
    <row r="471" spans="1:8" ht="22.5" x14ac:dyDescent="0.25">
      <c r="A471" s="58" t="s">
        <v>2135</v>
      </c>
      <c r="B471" s="59" t="s">
        <v>239</v>
      </c>
      <c r="C471" s="60" t="s">
        <v>190</v>
      </c>
      <c r="D471" s="76" t="s">
        <v>21</v>
      </c>
      <c r="E471" s="61" t="s">
        <v>471</v>
      </c>
      <c r="F471" s="61" t="s">
        <v>2136</v>
      </c>
      <c r="G471" s="33">
        <f>+G462</f>
        <v>35000</v>
      </c>
      <c r="H471" s="33">
        <f t="shared" si="46"/>
        <v>1323</v>
      </c>
    </row>
    <row r="472" spans="1:8" ht="22.5" x14ac:dyDescent="0.25">
      <c r="A472" s="58" t="s">
        <v>2137</v>
      </c>
      <c r="B472" s="59" t="s">
        <v>2138</v>
      </c>
      <c r="C472" s="60" t="s">
        <v>2139</v>
      </c>
      <c r="D472" s="76" t="s">
        <v>54</v>
      </c>
      <c r="E472" s="61" t="s">
        <v>1808</v>
      </c>
      <c r="F472" s="61" t="s">
        <v>1877</v>
      </c>
      <c r="G472" s="33"/>
      <c r="H472" s="33">
        <f t="shared" si="46"/>
        <v>0</v>
      </c>
    </row>
    <row r="473" spans="1:8" x14ac:dyDescent="0.25">
      <c r="A473" s="58" t="s">
        <v>2140</v>
      </c>
      <c r="B473" s="59" t="s">
        <v>2141</v>
      </c>
      <c r="C473" s="60" t="s">
        <v>2142</v>
      </c>
      <c r="D473" s="76" t="s">
        <v>367</v>
      </c>
      <c r="E473" s="61" t="s">
        <v>1893</v>
      </c>
      <c r="F473" s="61" t="s">
        <v>2143</v>
      </c>
      <c r="G473" s="32">
        <v>25000</v>
      </c>
      <c r="H473" s="33">
        <f t="shared" si="46"/>
        <v>3199500</v>
      </c>
    </row>
    <row r="474" spans="1:8" x14ac:dyDescent="0.25">
      <c r="A474" s="58" t="s">
        <v>2144</v>
      </c>
      <c r="B474" s="59" t="s">
        <v>522</v>
      </c>
      <c r="C474" s="60" t="s">
        <v>523</v>
      </c>
      <c r="D474" s="76" t="s">
        <v>524</v>
      </c>
      <c r="E474" s="61" t="s">
        <v>525</v>
      </c>
      <c r="F474" s="61" t="s">
        <v>1897</v>
      </c>
      <c r="G474" s="33"/>
      <c r="H474" s="33">
        <f t="shared" si="46"/>
        <v>0</v>
      </c>
    </row>
    <row r="475" spans="1:8" x14ac:dyDescent="0.25">
      <c r="A475" s="55" t="s">
        <v>482</v>
      </c>
      <c r="B475" s="56" t="s">
        <v>528</v>
      </c>
      <c r="C475" s="57" t="s">
        <v>529</v>
      </c>
      <c r="D475" s="75" t="s">
        <v>530</v>
      </c>
      <c r="E475" s="122" t="s">
        <v>1809</v>
      </c>
      <c r="F475" s="123"/>
      <c r="G475" s="33"/>
      <c r="H475" s="33">
        <f t="shared" si="46"/>
        <v>0</v>
      </c>
    </row>
    <row r="476" spans="1:8" x14ac:dyDescent="0.25">
      <c r="A476" s="58" t="s">
        <v>486</v>
      </c>
      <c r="B476" s="59" t="s">
        <v>34</v>
      </c>
      <c r="C476" s="60" t="s">
        <v>35</v>
      </c>
      <c r="D476" s="76" t="s">
        <v>16</v>
      </c>
      <c r="E476" s="61" t="s">
        <v>533</v>
      </c>
      <c r="F476" s="61" t="s">
        <v>2145</v>
      </c>
      <c r="G476" s="33">
        <f>+G466</f>
        <v>26500</v>
      </c>
      <c r="H476" s="33">
        <f t="shared" si="46"/>
        <v>1654.2360000000001</v>
      </c>
    </row>
    <row r="477" spans="1:8" x14ac:dyDescent="0.25">
      <c r="A477" s="58" t="s">
        <v>489</v>
      </c>
      <c r="B477" s="59" t="s">
        <v>14</v>
      </c>
      <c r="C477" s="60" t="s">
        <v>15</v>
      </c>
      <c r="D477" s="76" t="s">
        <v>16</v>
      </c>
      <c r="E477" s="61" t="s">
        <v>536</v>
      </c>
      <c r="F477" s="61" t="s">
        <v>2146</v>
      </c>
      <c r="G477" s="33"/>
      <c r="H477" s="33">
        <f t="shared" si="46"/>
        <v>0</v>
      </c>
    </row>
    <row r="478" spans="1:8" ht="22.5" x14ac:dyDescent="0.25">
      <c r="A478" s="58" t="s">
        <v>492</v>
      </c>
      <c r="B478" s="59" t="s">
        <v>539</v>
      </c>
      <c r="C478" s="60" t="s">
        <v>540</v>
      </c>
      <c r="D478" s="76" t="s">
        <v>21</v>
      </c>
      <c r="E478" s="61" t="s">
        <v>541</v>
      </c>
      <c r="F478" s="61" t="s">
        <v>2147</v>
      </c>
      <c r="G478" s="33">
        <f>+G468</f>
        <v>113021</v>
      </c>
      <c r="H478" s="33">
        <f t="shared" si="46"/>
        <v>402.80684400000001</v>
      </c>
    </row>
    <row r="479" spans="1:8" x14ac:dyDescent="0.25">
      <c r="A479" s="58" t="s">
        <v>495</v>
      </c>
      <c r="B479" s="59" t="s">
        <v>544</v>
      </c>
      <c r="C479" s="60" t="s">
        <v>545</v>
      </c>
      <c r="D479" s="76" t="s">
        <v>21</v>
      </c>
      <c r="E479" s="61" t="s">
        <v>546</v>
      </c>
      <c r="F479" s="61" t="s">
        <v>1810</v>
      </c>
      <c r="G479" s="33">
        <f>+G469</f>
        <v>4000</v>
      </c>
      <c r="H479" s="33">
        <f t="shared" si="46"/>
        <v>77.759999999999991</v>
      </c>
    </row>
    <row r="480" spans="1:8" x14ac:dyDescent="0.25">
      <c r="A480" s="58" t="s">
        <v>500</v>
      </c>
      <c r="B480" s="59" t="s">
        <v>549</v>
      </c>
      <c r="C480" s="60" t="s">
        <v>550</v>
      </c>
      <c r="D480" s="76" t="s">
        <v>21</v>
      </c>
      <c r="E480" s="61" t="s">
        <v>551</v>
      </c>
      <c r="F480" s="61" t="s">
        <v>2148</v>
      </c>
      <c r="G480" s="33"/>
      <c r="H480" s="33">
        <f t="shared" si="46"/>
        <v>0</v>
      </c>
    </row>
    <row r="481" spans="1:8" ht="22.5" x14ac:dyDescent="0.25">
      <c r="A481" s="58" t="s">
        <v>503</v>
      </c>
      <c r="B481" s="59" t="s">
        <v>239</v>
      </c>
      <c r="C481" s="60" t="s">
        <v>190</v>
      </c>
      <c r="D481" s="76" t="s">
        <v>21</v>
      </c>
      <c r="E481" s="61" t="s">
        <v>554</v>
      </c>
      <c r="F481" s="61" t="s">
        <v>1898</v>
      </c>
      <c r="G481" s="33">
        <f>+G471</f>
        <v>35000</v>
      </c>
      <c r="H481" s="33">
        <f t="shared" si="46"/>
        <v>189</v>
      </c>
    </row>
    <row r="482" spans="1:8" ht="22.5" x14ac:dyDescent="0.25">
      <c r="A482" s="58" t="s">
        <v>506</v>
      </c>
      <c r="B482" s="59" t="s">
        <v>557</v>
      </c>
      <c r="C482" s="60" t="s">
        <v>558</v>
      </c>
      <c r="D482" s="76" t="s">
        <v>60</v>
      </c>
      <c r="E482" s="61" t="s">
        <v>559</v>
      </c>
      <c r="F482" s="61" t="s">
        <v>2149</v>
      </c>
      <c r="G482" s="33">
        <f>+G463</f>
        <v>4500000</v>
      </c>
      <c r="H482" s="33">
        <f t="shared" si="46"/>
        <v>15552</v>
      </c>
    </row>
    <row r="483" spans="1:8" x14ac:dyDescent="0.25">
      <c r="A483" s="58" t="s">
        <v>1141</v>
      </c>
      <c r="B483" s="59" t="s">
        <v>562</v>
      </c>
      <c r="C483" s="60" t="s">
        <v>563</v>
      </c>
      <c r="D483" s="76" t="s">
        <v>60</v>
      </c>
      <c r="E483" s="61" t="s">
        <v>564</v>
      </c>
      <c r="F483" s="61" t="s">
        <v>2150</v>
      </c>
      <c r="G483" s="33">
        <f>+G464</f>
        <v>1500000</v>
      </c>
      <c r="H483" s="33">
        <f t="shared" si="46"/>
        <v>11664</v>
      </c>
    </row>
    <row r="484" spans="1:8" ht="22.5" x14ac:dyDescent="0.25">
      <c r="A484" s="55" t="s">
        <v>509</v>
      </c>
      <c r="B484" s="56" t="s">
        <v>2151</v>
      </c>
      <c r="C484" s="57" t="s">
        <v>2152</v>
      </c>
      <c r="D484" s="75" t="s">
        <v>530</v>
      </c>
      <c r="E484" s="122" t="s">
        <v>2153</v>
      </c>
      <c r="F484" s="123"/>
      <c r="G484" s="33"/>
      <c r="H484" s="33">
        <f t="shared" si="46"/>
        <v>0</v>
      </c>
    </row>
    <row r="485" spans="1:8" x14ac:dyDescent="0.25">
      <c r="A485" s="58" t="s">
        <v>514</v>
      </c>
      <c r="B485" s="59" t="s">
        <v>34</v>
      </c>
      <c r="C485" s="60" t="s">
        <v>35</v>
      </c>
      <c r="D485" s="76" t="s">
        <v>16</v>
      </c>
      <c r="E485" s="61" t="s">
        <v>2154</v>
      </c>
      <c r="F485" s="61" t="s">
        <v>2155</v>
      </c>
      <c r="G485" s="33">
        <f>+G476</f>
        <v>26500</v>
      </c>
      <c r="H485" s="33">
        <f t="shared" si="46"/>
        <v>129462.56999999999</v>
      </c>
    </row>
    <row r="486" spans="1:8" x14ac:dyDescent="0.25">
      <c r="A486" s="58" t="s">
        <v>517</v>
      </c>
      <c r="B486" s="59" t="s">
        <v>14</v>
      </c>
      <c r="C486" s="60" t="s">
        <v>15</v>
      </c>
      <c r="D486" s="76" t="s">
        <v>16</v>
      </c>
      <c r="E486" s="61" t="s">
        <v>1892</v>
      </c>
      <c r="F486" s="61" t="s">
        <v>2156</v>
      </c>
      <c r="G486" s="33"/>
      <c r="H486" s="33">
        <f t="shared" si="46"/>
        <v>0</v>
      </c>
    </row>
    <row r="487" spans="1:8" ht="22.5" x14ac:dyDescent="0.25">
      <c r="A487" s="58" t="s">
        <v>521</v>
      </c>
      <c r="B487" s="59" t="s">
        <v>539</v>
      </c>
      <c r="C487" s="60" t="s">
        <v>540</v>
      </c>
      <c r="D487" s="76" t="s">
        <v>21</v>
      </c>
      <c r="E487" s="61" t="s">
        <v>541</v>
      </c>
      <c r="F487" s="61" t="s">
        <v>2157</v>
      </c>
      <c r="G487" s="33">
        <f>+G478</f>
        <v>113021</v>
      </c>
      <c r="H487" s="33">
        <f t="shared" si="46"/>
        <v>16716.484026000002</v>
      </c>
    </row>
    <row r="488" spans="1:8" x14ac:dyDescent="0.25">
      <c r="A488" s="58" t="s">
        <v>2158</v>
      </c>
      <c r="B488" s="59" t="s">
        <v>544</v>
      </c>
      <c r="C488" s="60" t="s">
        <v>545</v>
      </c>
      <c r="D488" s="76" t="s">
        <v>21</v>
      </c>
      <c r="E488" s="61" t="s">
        <v>2159</v>
      </c>
      <c r="F488" s="61" t="s">
        <v>2160</v>
      </c>
      <c r="G488" s="33">
        <f>+G479</f>
        <v>4000</v>
      </c>
      <c r="H488" s="33">
        <f t="shared" si="46"/>
        <v>8623.3679999999986</v>
      </c>
    </row>
    <row r="489" spans="1:8" ht="22.5" x14ac:dyDescent="0.25">
      <c r="A489" s="58" t="s">
        <v>2161</v>
      </c>
      <c r="B489" s="59" t="s">
        <v>239</v>
      </c>
      <c r="C489" s="60" t="s">
        <v>190</v>
      </c>
      <c r="D489" s="76" t="s">
        <v>21</v>
      </c>
      <c r="E489" s="61" t="s">
        <v>554</v>
      </c>
      <c r="F489" s="61" t="s">
        <v>2162</v>
      </c>
      <c r="G489" s="33">
        <f>+G481</f>
        <v>35000</v>
      </c>
      <c r="H489" s="33">
        <f t="shared" si="46"/>
        <v>7843.5</v>
      </c>
    </row>
    <row r="490" spans="1:8" ht="22.5" x14ac:dyDescent="0.25">
      <c r="A490" s="58" t="s">
        <v>2163</v>
      </c>
      <c r="B490" s="59" t="s">
        <v>557</v>
      </c>
      <c r="C490" s="60" t="s">
        <v>558</v>
      </c>
      <c r="D490" s="76" t="s">
        <v>60</v>
      </c>
      <c r="E490" s="61" t="s">
        <v>472</v>
      </c>
      <c r="F490" s="61" t="s">
        <v>2164</v>
      </c>
      <c r="G490" s="33">
        <f>+G482</f>
        <v>4500000</v>
      </c>
      <c r="H490" s="33">
        <f t="shared" si="46"/>
        <v>847098</v>
      </c>
    </row>
    <row r="491" spans="1:8" x14ac:dyDescent="0.25">
      <c r="A491" s="58" t="s">
        <v>2165</v>
      </c>
      <c r="B491" s="59" t="s">
        <v>2166</v>
      </c>
      <c r="C491" s="60" t="s">
        <v>2167</v>
      </c>
      <c r="D491" s="76" t="s">
        <v>60</v>
      </c>
      <c r="E491" s="61" t="s">
        <v>1807</v>
      </c>
      <c r="F491" s="61" t="s">
        <v>2168</v>
      </c>
      <c r="G491" s="33"/>
      <c r="H491" s="33">
        <f t="shared" si="46"/>
        <v>0</v>
      </c>
    </row>
    <row r="492" spans="1:8" ht="33.75" x14ac:dyDescent="0.25">
      <c r="A492" s="55" t="s">
        <v>527</v>
      </c>
      <c r="B492" s="56" t="s">
        <v>1781</v>
      </c>
      <c r="C492" s="57" t="s">
        <v>1782</v>
      </c>
      <c r="D492" s="75" t="s">
        <v>175</v>
      </c>
      <c r="E492" s="122" t="s">
        <v>2169</v>
      </c>
      <c r="F492" s="123"/>
      <c r="G492" s="33"/>
      <c r="H492" s="33">
        <f t="shared" si="46"/>
        <v>0</v>
      </c>
    </row>
    <row r="493" spans="1:8" ht="22.5" x14ac:dyDescent="0.25">
      <c r="A493" s="58" t="s">
        <v>532</v>
      </c>
      <c r="B493" s="59" t="s">
        <v>34</v>
      </c>
      <c r="C493" s="60" t="s">
        <v>35</v>
      </c>
      <c r="D493" s="76" t="s">
        <v>16</v>
      </c>
      <c r="E493" s="61" t="s">
        <v>1783</v>
      </c>
      <c r="F493" s="61" t="s">
        <v>2170</v>
      </c>
      <c r="G493" s="33">
        <f>+G485</f>
        <v>26500</v>
      </c>
      <c r="H493" s="33">
        <f t="shared" si="46"/>
        <v>10707787.902000001</v>
      </c>
    </row>
    <row r="494" spans="1:8" x14ac:dyDescent="0.25">
      <c r="A494" s="58" t="s">
        <v>535</v>
      </c>
      <c r="B494" s="59" t="s">
        <v>14</v>
      </c>
      <c r="C494" s="60" t="s">
        <v>15</v>
      </c>
      <c r="D494" s="76" t="s">
        <v>16</v>
      </c>
      <c r="E494" s="61" t="s">
        <v>687</v>
      </c>
      <c r="F494" s="61" t="s">
        <v>2171</v>
      </c>
      <c r="G494" s="33"/>
      <c r="H494" s="33">
        <f t="shared" si="46"/>
        <v>0</v>
      </c>
    </row>
    <row r="495" spans="1:8" ht="22.5" x14ac:dyDescent="0.25">
      <c r="A495" s="58" t="s">
        <v>538</v>
      </c>
      <c r="B495" s="59" t="s">
        <v>539</v>
      </c>
      <c r="C495" s="60" t="s">
        <v>540</v>
      </c>
      <c r="D495" s="76" t="s">
        <v>21</v>
      </c>
      <c r="E495" s="61" t="s">
        <v>1784</v>
      </c>
      <c r="F495" s="61" t="s">
        <v>2172</v>
      </c>
      <c r="G495" s="33">
        <f>+G487</f>
        <v>113021</v>
      </c>
      <c r="H495" s="33">
        <f t="shared" si="46"/>
        <v>75294.138116000002</v>
      </c>
    </row>
    <row r="496" spans="1:8" ht="22.5" x14ac:dyDescent="0.25">
      <c r="A496" s="58" t="s">
        <v>543</v>
      </c>
      <c r="B496" s="59" t="s">
        <v>239</v>
      </c>
      <c r="C496" s="60" t="s">
        <v>190</v>
      </c>
      <c r="D496" s="76" t="s">
        <v>21</v>
      </c>
      <c r="E496" s="61" t="s">
        <v>1786</v>
      </c>
      <c r="F496" s="61" t="s">
        <v>2173</v>
      </c>
      <c r="G496" s="33">
        <f>+G489</f>
        <v>35000</v>
      </c>
      <c r="H496" s="33">
        <f t="shared" si="46"/>
        <v>35661.08</v>
      </c>
    </row>
    <row r="497" spans="1:8" ht="33.75" x14ac:dyDescent="0.25">
      <c r="A497" s="58" t="s">
        <v>548</v>
      </c>
      <c r="B497" s="59" t="s">
        <v>1788</v>
      </c>
      <c r="C497" s="60" t="s">
        <v>1789</v>
      </c>
      <c r="D497" s="76" t="s">
        <v>60</v>
      </c>
      <c r="E497" s="61" t="s">
        <v>1790</v>
      </c>
      <c r="F497" s="61" t="s">
        <v>2174</v>
      </c>
      <c r="G497" s="33">
        <f>+G434</f>
        <v>8500000</v>
      </c>
      <c r="H497" s="33">
        <f t="shared" si="46"/>
        <v>333098</v>
      </c>
    </row>
    <row r="498" spans="1:8" x14ac:dyDescent="0.25">
      <c r="A498" s="58" t="s">
        <v>553</v>
      </c>
      <c r="B498" s="59" t="s">
        <v>1792</v>
      </c>
      <c r="C498" s="60" t="s">
        <v>1793</v>
      </c>
      <c r="D498" s="76" t="s">
        <v>524</v>
      </c>
      <c r="E498" s="61" t="s">
        <v>57</v>
      </c>
      <c r="F498" s="61" t="s">
        <v>2175</v>
      </c>
      <c r="G498" s="33"/>
      <c r="H498" s="33">
        <f t="shared" si="46"/>
        <v>0</v>
      </c>
    </row>
    <row r="499" spans="1:8" x14ac:dyDescent="0.25">
      <c r="A499" s="58" t="s">
        <v>556</v>
      </c>
      <c r="B499" s="59" t="s">
        <v>1795</v>
      </c>
      <c r="C499" s="60" t="s">
        <v>1798</v>
      </c>
      <c r="D499" s="76" t="s">
        <v>1320</v>
      </c>
      <c r="E499" s="61" t="s">
        <v>587</v>
      </c>
      <c r="F499" s="61" t="s">
        <v>2176</v>
      </c>
      <c r="G499" s="33"/>
      <c r="H499" s="33">
        <f t="shared" si="46"/>
        <v>0</v>
      </c>
    </row>
    <row r="500" spans="1:8" ht="22.5" x14ac:dyDescent="0.25">
      <c r="A500" s="55" t="s">
        <v>566</v>
      </c>
      <c r="B500" s="56" t="s">
        <v>2177</v>
      </c>
      <c r="C500" s="57" t="s">
        <v>2178</v>
      </c>
      <c r="D500" s="75" t="s">
        <v>686</v>
      </c>
      <c r="E500" s="122" t="s">
        <v>2179</v>
      </c>
      <c r="F500" s="123"/>
      <c r="G500" s="33"/>
      <c r="H500" s="33">
        <f t="shared" si="46"/>
        <v>0</v>
      </c>
    </row>
    <row r="501" spans="1:8" x14ac:dyDescent="0.25">
      <c r="A501" s="58" t="s">
        <v>570</v>
      </c>
      <c r="B501" s="59" t="s">
        <v>34</v>
      </c>
      <c r="C501" s="60" t="s">
        <v>35</v>
      </c>
      <c r="D501" s="76" t="s">
        <v>16</v>
      </c>
      <c r="E501" s="61" t="s">
        <v>2180</v>
      </c>
      <c r="F501" s="61" t="s">
        <v>2181</v>
      </c>
      <c r="G501" s="33">
        <f>+G493</f>
        <v>26500</v>
      </c>
      <c r="H501" s="33">
        <f t="shared" si="46"/>
        <v>3608981.9999999995</v>
      </c>
    </row>
    <row r="502" spans="1:8" x14ac:dyDescent="0.25">
      <c r="A502" s="58" t="s">
        <v>573</v>
      </c>
      <c r="B502" s="59" t="s">
        <v>14</v>
      </c>
      <c r="C502" s="60" t="s">
        <v>15</v>
      </c>
      <c r="D502" s="76" t="s">
        <v>16</v>
      </c>
      <c r="E502" s="61" t="s">
        <v>2182</v>
      </c>
      <c r="F502" s="61" t="s">
        <v>2183</v>
      </c>
      <c r="G502" s="33"/>
      <c r="H502" s="33">
        <f t="shared" si="46"/>
        <v>0</v>
      </c>
    </row>
    <row r="503" spans="1:8" x14ac:dyDescent="0.25">
      <c r="A503" s="58" t="s">
        <v>576</v>
      </c>
      <c r="B503" s="59" t="s">
        <v>2184</v>
      </c>
      <c r="C503" s="60" t="s">
        <v>2185</v>
      </c>
      <c r="D503" s="76" t="s">
        <v>21</v>
      </c>
      <c r="E503" s="61" t="s">
        <v>2186</v>
      </c>
      <c r="F503" s="61" t="s">
        <v>2187</v>
      </c>
      <c r="G503" s="32">
        <v>15000</v>
      </c>
      <c r="H503" s="33">
        <f t="shared" si="46"/>
        <v>300526.2</v>
      </c>
    </row>
    <row r="504" spans="1:8" ht="33.75" x14ac:dyDescent="0.25">
      <c r="A504" s="58" t="s">
        <v>578</v>
      </c>
      <c r="B504" s="59" t="s">
        <v>313</v>
      </c>
      <c r="C504" s="60" t="s">
        <v>314</v>
      </c>
      <c r="D504" s="76" t="s">
        <v>21</v>
      </c>
      <c r="E504" s="61" t="s">
        <v>1894</v>
      </c>
      <c r="F504" s="61" t="s">
        <v>2188</v>
      </c>
      <c r="G504" s="33">
        <f>+G495</f>
        <v>113021</v>
      </c>
      <c r="H504" s="33">
        <f t="shared" si="46"/>
        <v>27769.259699999999</v>
      </c>
    </row>
    <row r="505" spans="1:8" x14ac:dyDescent="0.25">
      <c r="A505" s="58" t="s">
        <v>581</v>
      </c>
      <c r="B505" s="59" t="s">
        <v>328</v>
      </c>
      <c r="C505" s="60" t="s">
        <v>329</v>
      </c>
      <c r="D505" s="76" t="s">
        <v>21</v>
      </c>
      <c r="E505" s="61" t="s">
        <v>2189</v>
      </c>
      <c r="F505" s="61" t="s">
        <v>2190</v>
      </c>
      <c r="G505" s="33">
        <f>+G418</f>
        <v>25000</v>
      </c>
      <c r="H505" s="33">
        <f t="shared" si="46"/>
        <v>24394.5</v>
      </c>
    </row>
    <row r="506" spans="1:8" ht="22.5" x14ac:dyDescent="0.25">
      <c r="A506" s="58" t="s">
        <v>584</v>
      </c>
      <c r="B506" s="59" t="s">
        <v>189</v>
      </c>
      <c r="C506" s="60" t="s">
        <v>190</v>
      </c>
      <c r="D506" s="76" t="s">
        <v>21</v>
      </c>
      <c r="E506" s="61" t="s">
        <v>1807</v>
      </c>
      <c r="F506" s="61" t="s">
        <v>2191</v>
      </c>
      <c r="G506" s="33">
        <f>+G496</f>
        <v>35000</v>
      </c>
      <c r="H506" s="33">
        <f t="shared" si="46"/>
        <v>12776.4</v>
      </c>
    </row>
    <row r="507" spans="1:8" ht="56.25" x14ac:dyDescent="0.25">
      <c r="A507" s="58" t="s">
        <v>586</v>
      </c>
      <c r="B507" s="59" t="s">
        <v>2192</v>
      </c>
      <c r="C507" s="60" t="s">
        <v>2193</v>
      </c>
      <c r="D507" s="76" t="s">
        <v>21</v>
      </c>
      <c r="E507" s="61" t="s">
        <v>161</v>
      </c>
      <c r="F507" s="61" t="s">
        <v>2194</v>
      </c>
      <c r="G507" s="33">
        <f>+G163</f>
        <v>22300</v>
      </c>
      <c r="H507" s="33">
        <f t="shared" si="46"/>
        <v>187855.19999999998</v>
      </c>
    </row>
    <row r="508" spans="1:8" x14ac:dyDescent="0.25">
      <c r="A508" s="58" t="s">
        <v>589</v>
      </c>
      <c r="B508" s="59" t="s">
        <v>193</v>
      </c>
      <c r="C508" s="60" t="s">
        <v>194</v>
      </c>
      <c r="D508" s="76" t="s">
        <v>54</v>
      </c>
      <c r="E508" s="61" t="s">
        <v>228</v>
      </c>
      <c r="F508" s="61" t="s">
        <v>2195</v>
      </c>
      <c r="G508" s="33"/>
      <c r="H508" s="33">
        <f t="shared" si="46"/>
        <v>0</v>
      </c>
    </row>
    <row r="509" spans="1:8" ht="22.5" x14ac:dyDescent="0.25">
      <c r="A509" s="58" t="s">
        <v>2196</v>
      </c>
      <c r="B509" s="59" t="s">
        <v>2197</v>
      </c>
      <c r="C509" s="60" t="s">
        <v>2198</v>
      </c>
      <c r="D509" s="76" t="s">
        <v>367</v>
      </c>
      <c r="E509" s="61" t="s">
        <v>1896</v>
      </c>
      <c r="F509" s="61" t="s">
        <v>2199</v>
      </c>
      <c r="G509" s="33">
        <f>+G473</f>
        <v>25000</v>
      </c>
      <c r="H509" s="33">
        <f t="shared" si="46"/>
        <v>7722</v>
      </c>
    </row>
    <row r="510" spans="1:8" ht="22.5" x14ac:dyDescent="0.25">
      <c r="A510" s="65" t="s">
        <v>2200</v>
      </c>
      <c r="B510" s="59" t="s">
        <v>2201</v>
      </c>
      <c r="C510" s="60" t="s">
        <v>2244</v>
      </c>
      <c r="D510" s="76" t="s">
        <v>200</v>
      </c>
      <c r="E510" s="61" t="s">
        <v>2202</v>
      </c>
      <c r="F510" s="61" t="s">
        <v>2203</v>
      </c>
      <c r="G510" s="50">
        <f>78835/1.12</f>
        <v>70388.392857142855</v>
      </c>
      <c r="H510" s="33">
        <f t="shared" si="46"/>
        <v>49906778.303571425</v>
      </c>
    </row>
    <row r="511" spans="1:8" ht="22.5" x14ac:dyDescent="0.25">
      <c r="A511" s="55" t="s">
        <v>1159</v>
      </c>
      <c r="B511" s="56" t="s">
        <v>2204</v>
      </c>
      <c r="C511" s="57" t="s">
        <v>2205</v>
      </c>
      <c r="D511" s="75" t="s">
        <v>54</v>
      </c>
      <c r="E511" s="122" t="s">
        <v>2206</v>
      </c>
      <c r="F511" s="123"/>
      <c r="G511" s="33"/>
      <c r="H511" s="33">
        <f t="shared" si="46"/>
        <v>0</v>
      </c>
    </row>
    <row r="512" spans="1:8" x14ac:dyDescent="0.25">
      <c r="A512" s="58" t="s">
        <v>1162</v>
      </c>
      <c r="B512" s="59" t="s">
        <v>34</v>
      </c>
      <c r="C512" s="60" t="s">
        <v>35</v>
      </c>
      <c r="D512" s="76" t="s">
        <v>16</v>
      </c>
      <c r="E512" s="61" t="s">
        <v>1878</v>
      </c>
      <c r="F512" s="61" t="s">
        <v>2207</v>
      </c>
      <c r="G512" s="33">
        <f>+G501</f>
        <v>26500</v>
      </c>
      <c r="H512" s="33">
        <f t="shared" si="46"/>
        <v>1869601.5</v>
      </c>
    </row>
    <row r="513" spans="1:8" x14ac:dyDescent="0.25">
      <c r="A513" s="58" t="s">
        <v>1163</v>
      </c>
      <c r="B513" s="59" t="s">
        <v>14</v>
      </c>
      <c r="C513" s="60" t="s">
        <v>15</v>
      </c>
      <c r="D513" s="76" t="s">
        <v>16</v>
      </c>
      <c r="E513" s="61" t="s">
        <v>2208</v>
      </c>
      <c r="F513" s="61" t="s">
        <v>2209</v>
      </c>
      <c r="G513" s="33"/>
      <c r="H513" s="33">
        <f t="shared" si="46"/>
        <v>0</v>
      </c>
    </row>
    <row r="514" spans="1:8" x14ac:dyDescent="0.25">
      <c r="A514" s="58" t="s">
        <v>1164</v>
      </c>
      <c r="B514" s="59" t="s">
        <v>170</v>
      </c>
      <c r="C514" s="60" t="s">
        <v>171</v>
      </c>
      <c r="D514" s="76" t="s">
        <v>21</v>
      </c>
      <c r="E514" s="61" t="s">
        <v>78</v>
      </c>
      <c r="F514" s="61" t="s">
        <v>2179</v>
      </c>
      <c r="G514" s="33">
        <f>+G65</f>
        <v>5500</v>
      </c>
      <c r="H514" s="33">
        <f t="shared" si="46"/>
        <v>3860.9999999999995</v>
      </c>
    </row>
    <row r="515" spans="1:8" x14ac:dyDescent="0.25">
      <c r="A515" s="58" t="s">
        <v>1167</v>
      </c>
      <c r="B515" s="59" t="s">
        <v>2210</v>
      </c>
      <c r="C515" s="60" t="s">
        <v>881</v>
      </c>
      <c r="D515" s="76" t="s">
        <v>21</v>
      </c>
      <c r="E515" s="61" t="s">
        <v>525</v>
      </c>
      <c r="F515" s="61" t="s">
        <v>2211</v>
      </c>
      <c r="G515" s="33"/>
      <c r="H515" s="33">
        <f t="shared" si="46"/>
        <v>0</v>
      </c>
    </row>
    <row r="516" spans="1:8" ht="22.5" x14ac:dyDescent="0.25">
      <c r="A516" s="58" t="s">
        <v>1168</v>
      </c>
      <c r="B516" s="59" t="s">
        <v>239</v>
      </c>
      <c r="C516" s="60" t="s">
        <v>190</v>
      </c>
      <c r="D516" s="76" t="s">
        <v>21</v>
      </c>
      <c r="E516" s="61" t="s">
        <v>2208</v>
      </c>
      <c r="F516" s="61" t="s">
        <v>2209</v>
      </c>
      <c r="G516" s="33">
        <f>+G506</f>
        <v>35000</v>
      </c>
      <c r="H516" s="33">
        <f t="shared" si="46"/>
        <v>46683</v>
      </c>
    </row>
    <row r="517" spans="1:8" ht="22.5" x14ac:dyDescent="0.25">
      <c r="A517" s="58" t="s">
        <v>1169</v>
      </c>
      <c r="B517" s="59" t="s">
        <v>1901</v>
      </c>
      <c r="C517" s="60" t="s">
        <v>1902</v>
      </c>
      <c r="D517" s="76" t="s">
        <v>60</v>
      </c>
      <c r="E517" s="61" t="s">
        <v>2212</v>
      </c>
      <c r="F517" s="61" t="s">
        <v>2213</v>
      </c>
      <c r="G517" s="33">
        <f>+G509</f>
        <v>25000</v>
      </c>
      <c r="H517" s="33">
        <f t="shared" si="46"/>
        <v>163.215</v>
      </c>
    </row>
    <row r="518" spans="1:8" x14ac:dyDescent="0.25">
      <c r="A518" s="58" t="s">
        <v>1170</v>
      </c>
      <c r="B518" s="59" t="s">
        <v>1796</v>
      </c>
      <c r="C518" s="60" t="s">
        <v>1032</v>
      </c>
      <c r="D518" s="76" t="s">
        <v>60</v>
      </c>
      <c r="E518" s="61" t="s">
        <v>2214</v>
      </c>
      <c r="F518" s="61" t="s">
        <v>2215</v>
      </c>
      <c r="G518" s="33">
        <f>+G725</f>
        <v>12000000</v>
      </c>
      <c r="H518" s="33">
        <f t="shared" si="46"/>
        <v>779220.00000000012</v>
      </c>
    </row>
    <row r="519" spans="1:8" x14ac:dyDescent="0.25">
      <c r="A519" s="58" t="s">
        <v>1171</v>
      </c>
      <c r="B519" s="59" t="s">
        <v>249</v>
      </c>
      <c r="C519" s="60" t="s">
        <v>250</v>
      </c>
      <c r="D519" s="76" t="s">
        <v>60</v>
      </c>
      <c r="E519" s="61" t="s">
        <v>1895</v>
      </c>
      <c r="F519" s="61" t="s">
        <v>2216</v>
      </c>
      <c r="G519" s="33">
        <f>+G423</f>
        <v>11500000</v>
      </c>
      <c r="H519" s="33">
        <f t="shared" si="46"/>
        <v>20182.5</v>
      </c>
    </row>
    <row r="520" spans="1:8" ht="22.5" x14ac:dyDescent="0.25">
      <c r="A520" s="58" t="s">
        <v>1172</v>
      </c>
      <c r="B520" s="59" t="s">
        <v>2197</v>
      </c>
      <c r="C520" s="60" t="s">
        <v>2198</v>
      </c>
      <c r="D520" s="76" t="s">
        <v>367</v>
      </c>
      <c r="E520" s="61" t="s">
        <v>1899</v>
      </c>
      <c r="F520" s="61" t="s">
        <v>2217</v>
      </c>
      <c r="G520" s="33">
        <f>+G517</f>
        <v>25000</v>
      </c>
      <c r="H520" s="33">
        <f t="shared" si="46"/>
        <v>40365</v>
      </c>
    </row>
    <row r="521" spans="1:8" ht="22.5" x14ac:dyDescent="0.25">
      <c r="A521" s="58" t="s">
        <v>1173</v>
      </c>
      <c r="B521" s="59" t="s">
        <v>2218</v>
      </c>
      <c r="C521" s="60" t="s">
        <v>2219</v>
      </c>
      <c r="D521" s="76" t="s">
        <v>60</v>
      </c>
      <c r="E521" s="61" t="s">
        <v>2220</v>
      </c>
      <c r="F521" s="61" t="s">
        <v>2221</v>
      </c>
      <c r="G521" s="33"/>
      <c r="H521" s="33">
        <f t="shared" si="46"/>
        <v>0</v>
      </c>
    </row>
    <row r="522" spans="1:8" ht="33.75" x14ac:dyDescent="0.25">
      <c r="A522" s="58" t="s">
        <v>1174</v>
      </c>
      <c r="B522" s="59" t="s">
        <v>1773</v>
      </c>
      <c r="C522" s="60" t="s">
        <v>1774</v>
      </c>
      <c r="D522" s="76" t="s">
        <v>54</v>
      </c>
      <c r="E522" s="61" t="s">
        <v>564</v>
      </c>
      <c r="F522" s="61" t="s">
        <v>2222</v>
      </c>
      <c r="G522" s="33">
        <f>+G523</f>
        <v>2350000</v>
      </c>
      <c r="H522" s="33">
        <f t="shared" si="46"/>
        <v>5938920</v>
      </c>
    </row>
    <row r="523" spans="1:8" ht="45" x14ac:dyDescent="0.25">
      <c r="A523" s="58" t="s">
        <v>2223</v>
      </c>
      <c r="B523" s="59" t="s">
        <v>2224</v>
      </c>
      <c r="C523" s="60" t="s">
        <v>2225</v>
      </c>
      <c r="D523" s="76" t="s">
        <v>54</v>
      </c>
      <c r="E523" s="61" t="s">
        <v>541</v>
      </c>
      <c r="F523" s="61" t="s">
        <v>2226</v>
      </c>
      <c r="G523" s="33">
        <f>+G627</f>
        <v>2350000</v>
      </c>
      <c r="H523" s="33">
        <f t="shared" si="46"/>
        <v>2722005.0000000005</v>
      </c>
    </row>
    <row r="524" spans="1:8" ht="33.75" x14ac:dyDescent="0.25">
      <c r="A524" s="58" t="s">
        <v>2227</v>
      </c>
      <c r="B524" s="59" t="s">
        <v>2228</v>
      </c>
      <c r="C524" s="60" t="s">
        <v>2229</v>
      </c>
      <c r="D524" s="76" t="s">
        <v>54</v>
      </c>
      <c r="E524" s="61" t="s">
        <v>1771</v>
      </c>
      <c r="F524" s="61" t="s">
        <v>2230</v>
      </c>
      <c r="G524" s="33">
        <f>+G425</f>
        <v>2350000</v>
      </c>
      <c r="H524" s="33">
        <f t="shared" si="46"/>
        <v>288697.5</v>
      </c>
    </row>
    <row r="525" spans="1:8" ht="22.5" x14ac:dyDescent="0.25">
      <c r="A525" s="58" t="s">
        <v>2231</v>
      </c>
      <c r="B525" s="59" t="s">
        <v>2232</v>
      </c>
      <c r="C525" s="60" t="s">
        <v>2233</v>
      </c>
      <c r="D525" s="76" t="s">
        <v>60</v>
      </c>
      <c r="E525" s="61" t="s">
        <v>2234</v>
      </c>
      <c r="F525" s="61" t="s">
        <v>2235</v>
      </c>
      <c r="G525" s="33"/>
      <c r="H525" s="33">
        <f t="shared" si="46"/>
        <v>0</v>
      </c>
    </row>
    <row r="526" spans="1:8" ht="22.5" x14ac:dyDescent="0.25">
      <c r="A526" s="55" t="s">
        <v>1177</v>
      </c>
      <c r="B526" s="56" t="s">
        <v>2236</v>
      </c>
      <c r="C526" s="57" t="s">
        <v>2237</v>
      </c>
      <c r="D526" s="75" t="s">
        <v>200</v>
      </c>
      <c r="E526" s="122" t="s">
        <v>2238</v>
      </c>
      <c r="F526" s="123"/>
      <c r="G526" s="50">
        <v>125000</v>
      </c>
      <c r="H526" s="33">
        <f>+G526*E526</f>
        <v>36562500</v>
      </c>
    </row>
    <row r="527" spans="1:8" x14ac:dyDescent="0.25">
      <c r="A527" s="55" t="s">
        <v>1229</v>
      </c>
      <c r="B527" s="56" t="s">
        <v>2239</v>
      </c>
      <c r="C527" s="57" t="s">
        <v>2240</v>
      </c>
      <c r="D527" s="75" t="s">
        <v>164</v>
      </c>
      <c r="E527" s="122" t="s">
        <v>197</v>
      </c>
      <c r="F527" s="123"/>
      <c r="G527" s="50">
        <v>125000</v>
      </c>
      <c r="H527" s="33">
        <f t="shared" ref="H527:H528" si="47">+G527*E527</f>
        <v>1750000</v>
      </c>
    </row>
    <row r="528" spans="1:8" ht="22.5" x14ac:dyDescent="0.25">
      <c r="A528" s="55" t="s">
        <v>1261</v>
      </c>
      <c r="B528" s="56" t="s">
        <v>2241</v>
      </c>
      <c r="C528" s="57" t="s">
        <v>2242</v>
      </c>
      <c r="D528" s="75" t="s">
        <v>21</v>
      </c>
      <c r="E528" s="122" t="s">
        <v>2243</v>
      </c>
      <c r="F528" s="123"/>
      <c r="G528" s="50">
        <v>35000</v>
      </c>
      <c r="H528" s="33">
        <f t="shared" si="47"/>
        <v>16800000</v>
      </c>
    </row>
    <row r="529" spans="1:8" ht="25.5" customHeight="1" x14ac:dyDescent="0.25">
      <c r="A529" s="6"/>
      <c r="B529" s="124" t="s">
        <v>855</v>
      </c>
      <c r="C529" s="124"/>
      <c r="D529" s="124"/>
      <c r="E529" s="36"/>
      <c r="F529" s="36"/>
      <c r="G529" s="33"/>
      <c r="H529" s="33"/>
    </row>
    <row r="530" spans="1:8" ht="18" x14ac:dyDescent="0.25">
      <c r="A530" s="11" t="s">
        <v>8</v>
      </c>
      <c r="B530" s="11" t="s">
        <v>371</v>
      </c>
      <c r="C530" s="12" t="s">
        <v>372</v>
      </c>
      <c r="D530" s="72" t="s">
        <v>107</v>
      </c>
      <c r="E530" s="126" t="s">
        <v>756</v>
      </c>
      <c r="F530" s="126"/>
      <c r="G530" s="33"/>
      <c r="H530" s="33"/>
    </row>
    <row r="531" spans="1:8" x14ac:dyDescent="0.25">
      <c r="A531" s="13" t="s">
        <v>13</v>
      </c>
      <c r="B531" s="13" t="s">
        <v>34</v>
      </c>
      <c r="C531" s="14" t="s">
        <v>35</v>
      </c>
      <c r="D531" s="38" t="s">
        <v>16</v>
      </c>
      <c r="E531" s="38" t="s">
        <v>375</v>
      </c>
      <c r="F531" s="38" t="s">
        <v>757</v>
      </c>
      <c r="G531" s="33">
        <f>+G263</f>
        <v>26500</v>
      </c>
      <c r="H531" s="33">
        <f t="shared" ref="H531:H545" si="48">G531*F531</f>
        <v>2453211</v>
      </c>
    </row>
    <row r="532" spans="1:8" x14ac:dyDescent="0.25">
      <c r="A532" s="13" t="s">
        <v>18</v>
      </c>
      <c r="B532" s="13" t="s">
        <v>14</v>
      </c>
      <c r="C532" s="14" t="s">
        <v>15</v>
      </c>
      <c r="D532" s="38" t="s">
        <v>16</v>
      </c>
      <c r="E532" s="38" t="s">
        <v>378</v>
      </c>
      <c r="F532" s="38" t="s">
        <v>758</v>
      </c>
      <c r="G532" s="33">
        <f>+G269</f>
        <v>0</v>
      </c>
      <c r="H532" s="33">
        <f t="shared" si="48"/>
        <v>0</v>
      </c>
    </row>
    <row r="533" spans="1:8" ht="19.5" x14ac:dyDescent="0.25">
      <c r="A533" s="13" t="s">
        <v>759</v>
      </c>
      <c r="B533" s="13" t="s">
        <v>381</v>
      </c>
      <c r="C533" s="14" t="s">
        <v>382</v>
      </c>
      <c r="D533" s="38" t="s">
        <v>21</v>
      </c>
      <c r="E533" s="38" t="s">
        <v>221</v>
      </c>
      <c r="F533" s="38" t="s">
        <v>760</v>
      </c>
      <c r="G533" s="33">
        <f>+G130</f>
        <v>11500</v>
      </c>
      <c r="H533" s="33">
        <f t="shared" si="48"/>
        <v>20424</v>
      </c>
    </row>
    <row r="534" spans="1:8" ht="29.25" x14ac:dyDescent="0.25">
      <c r="A534" s="13" t="s">
        <v>761</v>
      </c>
      <c r="B534" s="13" t="s">
        <v>313</v>
      </c>
      <c r="C534" s="14" t="s">
        <v>314</v>
      </c>
      <c r="D534" s="38" t="s">
        <v>21</v>
      </c>
      <c r="E534" s="38" t="s">
        <v>385</v>
      </c>
      <c r="F534" s="38" t="s">
        <v>762</v>
      </c>
      <c r="G534" s="35">
        <f>+G115</f>
        <v>113021</v>
      </c>
      <c r="H534" s="33">
        <f t="shared" si="48"/>
        <v>41399.592300000004</v>
      </c>
    </row>
    <row r="535" spans="1:8" ht="29.25" x14ac:dyDescent="0.25">
      <c r="A535" s="13" t="s">
        <v>763</v>
      </c>
      <c r="B535" s="13" t="s">
        <v>318</v>
      </c>
      <c r="C535" s="14" t="s">
        <v>319</v>
      </c>
      <c r="D535" s="38" t="s">
        <v>21</v>
      </c>
      <c r="E535" s="38" t="s">
        <v>388</v>
      </c>
      <c r="F535" s="38" t="s">
        <v>764</v>
      </c>
      <c r="G535" s="39">
        <f>+G149</f>
        <v>113021</v>
      </c>
      <c r="H535" s="33">
        <f t="shared" si="48"/>
        <v>1644316.5341699999</v>
      </c>
    </row>
    <row r="536" spans="1:8" x14ac:dyDescent="0.25">
      <c r="A536" s="13" t="s">
        <v>765</v>
      </c>
      <c r="B536" s="13" t="s">
        <v>239</v>
      </c>
      <c r="C536" s="14" t="s">
        <v>190</v>
      </c>
      <c r="D536" s="38" t="s">
        <v>21</v>
      </c>
      <c r="E536" s="38" t="s">
        <v>391</v>
      </c>
      <c r="F536" s="38" t="s">
        <v>766</v>
      </c>
      <c r="G536" s="33">
        <f>+G186</f>
        <v>35000</v>
      </c>
      <c r="H536" s="33">
        <f t="shared" si="48"/>
        <v>38228.400000000001</v>
      </c>
    </row>
    <row r="537" spans="1:8" x14ac:dyDescent="0.25">
      <c r="A537" s="13" t="s">
        <v>767</v>
      </c>
      <c r="B537" s="13" t="s">
        <v>340</v>
      </c>
      <c r="C537" s="14" t="s">
        <v>341</v>
      </c>
      <c r="D537" s="38" t="s">
        <v>54</v>
      </c>
      <c r="E537" s="38" t="s">
        <v>394</v>
      </c>
      <c r="F537" s="38" t="s">
        <v>768</v>
      </c>
      <c r="G537" s="33">
        <f>+G151</f>
        <v>0</v>
      </c>
      <c r="H537" s="33">
        <f t="shared" si="48"/>
        <v>0</v>
      </c>
    </row>
    <row r="538" spans="1:8" x14ac:dyDescent="0.25">
      <c r="A538" s="13" t="s">
        <v>769</v>
      </c>
      <c r="B538" s="13" t="s">
        <v>249</v>
      </c>
      <c r="C538" s="14" t="s">
        <v>250</v>
      </c>
      <c r="D538" s="38" t="s">
        <v>60</v>
      </c>
      <c r="E538" s="38" t="s">
        <v>397</v>
      </c>
      <c r="F538" s="38" t="s">
        <v>770</v>
      </c>
      <c r="G538" s="33">
        <f>+G135</f>
        <v>11500000</v>
      </c>
      <c r="H538" s="33">
        <f t="shared" si="48"/>
        <v>80419.5</v>
      </c>
    </row>
    <row r="539" spans="1:8" x14ac:dyDescent="0.25">
      <c r="A539" s="13" t="s">
        <v>771</v>
      </c>
      <c r="B539" s="13" t="s">
        <v>400</v>
      </c>
      <c r="C539" s="14" t="s">
        <v>401</v>
      </c>
      <c r="D539" s="38" t="s">
        <v>60</v>
      </c>
      <c r="E539" s="38" t="s">
        <v>97</v>
      </c>
      <c r="F539" s="38" t="s">
        <v>772</v>
      </c>
      <c r="G539" s="33">
        <f>+G136</f>
        <v>3500000</v>
      </c>
      <c r="H539" s="33">
        <f t="shared" si="48"/>
        <v>46620</v>
      </c>
    </row>
    <row r="540" spans="1:8" x14ac:dyDescent="0.25">
      <c r="A540" s="13" t="s">
        <v>773</v>
      </c>
      <c r="B540" s="13" t="s">
        <v>404</v>
      </c>
      <c r="C540" s="14" t="s">
        <v>405</v>
      </c>
      <c r="D540" s="38" t="s">
        <v>60</v>
      </c>
      <c r="E540" s="38" t="s">
        <v>406</v>
      </c>
      <c r="F540" s="38" t="s">
        <v>774</v>
      </c>
      <c r="G540" s="33">
        <f>+G166</f>
        <v>22500000</v>
      </c>
      <c r="H540" s="33">
        <f t="shared" si="48"/>
        <v>19980</v>
      </c>
    </row>
    <row r="541" spans="1:8" ht="29.25" x14ac:dyDescent="0.25">
      <c r="A541" s="13" t="s">
        <v>775</v>
      </c>
      <c r="B541" s="13" t="s">
        <v>409</v>
      </c>
      <c r="C541" s="14" t="s">
        <v>410</v>
      </c>
      <c r="D541" s="38" t="s">
        <v>54</v>
      </c>
      <c r="E541" s="38" t="s">
        <v>411</v>
      </c>
      <c r="F541" s="38" t="s">
        <v>776</v>
      </c>
      <c r="G541" s="33">
        <f>+G139</f>
        <v>2350000</v>
      </c>
      <c r="H541" s="33">
        <f t="shared" si="48"/>
        <v>1510321.5</v>
      </c>
    </row>
    <row r="542" spans="1:8" ht="29.25" x14ac:dyDescent="0.25">
      <c r="A542" s="13" t="s">
        <v>777</v>
      </c>
      <c r="B542" s="13" t="s">
        <v>414</v>
      </c>
      <c r="C542" s="14" t="s">
        <v>415</v>
      </c>
      <c r="D542" s="38" t="s">
        <v>54</v>
      </c>
      <c r="E542" s="38" t="s">
        <v>120</v>
      </c>
      <c r="F542" s="38" t="s">
        <v>778</v>
      </c>
      <c r="G542" s="33">
        <f>+G541</f>
        <v>2350000</v>
      </c>
      <c r="H542" s="33">
        <f t="shared" si="48"/>
        <v>62604</v>
      </c>
    </row>
    <row r="543" spans="1:8" x14ac:dyDescent="0.25">
      <c r="A543" s="13" t="s">
        <v>779</v>
      </c>
      <c r="B543" s="13" t="s">
        <v>418</v>
      </c>
      <c r="C543" s="14" t="s">
        <v>419</v>
      </c>
      <c r="D543" s="38" t="s">
        <v>60</v>
      </c>
      <c r="E543" s="38" t="s">
        <v>420</v>
      </c>
      <c r="F543" s="38" t="s">
        <v>780</v>
      </c>
      <c r="G543" s="33">
        <f>+G140</f>
        <v>11350300</v>
      </c>
      <c r="H543" s="33">
        <f t="shared" si="48"/>
        <v>22677.899400000002</v>
      </c>
    </row>
    <row r="544" spans="1:8" x14ac:dyDescent="0.25">
      <c r="A544" s="13" t="s">
        <v>781</v>
      </c>
      <c r="B544" s="13" t="s">
        <v>423</v>
      </c>
      <c r="C544" s="14" t="s">
        <v>424</v>
      </c>
      <c r="D544" s="38" t="s">
        <v>60</v>
      </c>
      <c r="E544" s="38" t="s">
        <v>425</v>
      </c>
      <c r="F544" s="38" t="s">
        <v>782</v>
      </c>
      <c r="G544" s="33">
        <f>+G141</f>
        <v>11350300</v>
      </c>
      <c r="H544" s="33">
        <f t="shared" si="48"/>
        <v>894517.14300000004</v>
      </c>
    </row>
    <row r="545" spans="1:8" x14ac:dyDescent="0.25">
      <c r="A545" s="13" t="s">
        <v>783</v>
      </c>
      <c r="B545" s="13" t="s">
        <v>784</v>
      </c>
      <c r="C545" s="14" t="s">
        <v>785</v>
      </c>
      <c r="D545" s="38" t="s">
        <v>54</v>
      </c>
      <c r="E545" s="38" t="s">
        <v>682</v>
      </c>
      <c r="F545" s="38" t="s">
        <v>786</v>
      </c>
      <c r="G545" s="35">
        <f>+G142</f>
        <v>1050136</v>
      </c>
      <c r="H545" s="33">
        <f t="shared" si="48"/>
        <v>11656509.6</v>
      </c>
    </row>
    <row r="546" spans="1:8" ht="18" x14ac:dyDescent="0.25">
      <c r="A546" s="11" t="s">
        <v>23</v>
      </c>
      <c r="B546" s="11" t="s">
        <v>229</v>
      </c>
      <c r="C546" s="12" t="s">
        <v>230</v>
      </c>
      <c r="D546" s="72" t="s">
        <v>107</v>
      </c>
      <c r="E546" s="126" t="s">
        <v>704</v>
      </c>
      <c r="F546" s="126"/>
      <c r="G546" s="33"/>
      <c r="H546" s="33"/>
    </row>
    <row r="547" spans="1:8" x14ac:dyDescent="0.25">
      <c r="A547" s="13" t="s">
        <v>26</v>
      </c>
      <c r="B547" s="13" t="s">
        <v>34</v>
      </c>
      <c r="C547" s="14" t="s">
        <v>35</v>
      </c>
      <c r="D547" s="38" t="s">
        <v>16</v>
      </c>
      <c r="E547" s="38" t="s">
        <v>233</v>
      </c>
      <c r="F547" s="38" t="s">
        <v>787</v>
      </c>
      <c r="G547" s="33">
        <f>+G531</f>
        <v>26500</v>
      </c>
      <c r="H547" s="33">
        <f t="shared" ref="H547:H553" si="49">G547*F547</f>
        <v>19843200</v>
      </c>
    </row>
    <row r="548" spans="1:8" x14ac:dyDescent="0.25">
      <c r="A548" s="13" t="s">
        <v>29</v>
      </c>
      <c r="B548" s="13" t="s">
        <v>14</v>
      </c>
      <c r="C548" s="14" t="s">
        <v>15</v>
      </c>
      <c r="D548" s="38" t="s">
        <v>16</v>
      </c>
      <c r="E548" s="38" t="s">
        <v>236</v>
      </c>
      <c r="F548" s="38" t="s">
        <v>788</v>
      </c>
      <c r="G548" s="33">
        <f>+G532</f>
        <v>0</v>
      </c>
      <c r="H548" s="33">
        <f t="shared" si="49"/>
        <v>0</v>
      </c>
    </row>
    <row r="549" spans="1:8" x14ac:dyDescent="0.25">
      <c r="A549" s="13" t="s">
        <v>789</v>
      </c>
      <c r="B549" s="13" t="s">
        <v>239</v>
      </c>
      <c r="C549" s="14" t="s">
        <v>190</v>
      </c>
      <c r="D549" s="38" t="s">
        <v>21</v>
      </c>
      <c r="E549" s="38" t="s">
        <v>236</v>
      </c>
      <c r="F549" s="38" t="s">
        <v>788</v>
      </c>
      <c r="G549" s="33">
        <f>+G536</f>
        <v>35000</v>
      </c>
      <c r="H549" s="33">
        <f t="shared" si="49"/>
        <v>4095.0000000000005</v>
      </c>
    </row>
    <row r="550" spans="1:8" x14ac:dyDescent="0.25">
      <c r="A550" s="13" t="s">
        <v>790</v>
      </c>
      <c r="B550" s="13" t="s">
        <v>241</v>
      </c>
      <c r="C550" s="14" t="s">
        <v>242</v>
      </c>
      <c r="D550" s="38" t="s">
        <v>54</v>
      </c>
      <c r="E550" s="38" t="s">
        <v>243</v>
      </c>
      <c r="F550" s="38" t="s">
        <v>791</v>
      </c>
      <c r="G550" s="33">
        <f>+G86</f>
        <v>22300</v>
      </c>
      <c r="H550" s="33">
        <f t="shared" si="49"/>
        <v>4565925</v>
      </c>
    </row>
    <row r="551" spans="1:8" x14ac:dyDescent="0.25">
      <c r="A551" s="13" t="s">
        <v>792</v>
      </c>
      <c r="B551" s="13" t="s">
        <v>246</v>
      </c>
      <c r="C551" s="14" t="s">
        <v>194</v>
      </c>
      <c r="D551" s="38" t="s">
        <v>54</v>
      </c>
      <c r="E551" s="38" t="s">
        <v>172</v>
      </c>
      <c r="F551" s="38" t="s">
        <v>793</v>
      </c>
      <c r="G551" s="33">
        <f>+G235</f>
        <v>0</v>
      </c>
      <c r="H551" s="33">
        <f t="shared" si="49"/>
        <v>0</v>
      </c>
    </row>
    <row r="552" spans="1:8" x14ac:dyDescent="0.25">
      <c r="A552" s="13" t="s">
        <v>794</v>
      </c>
      <c r="B552" s="13" t="s">
        <v>249</v>
      </c>
      <c r="C552" s="14" t="s">
        <v>250</v>
      </c>
      <c r="D552" s="38" t="s">
        <v>60</v>
      </c>
      <c r="E552" s="38" t="s">
        <v>251</v>
      </c>
      <c r="F552" s="38" t="s">
        <v>795</v>
      </c>
      <c r="G552" s="33">
        <f>+G538</f>
        <v>11500000</v>
      </c>
      <c r="H552" s="33">
        <f t="shared" si="49"/>
        <v>60547.5</v>
      </c>
    </row>
    <row r="553" spans="1:8" ht="29.25" x14ac:dyDescent="0.25">
      <c r="A553" s="13" t="s">
        <v>796</v>
      </c>
      <c r="B553" s="13" t="s">
        <v>254</v>
      </c>
      <c r="C553" s="14" t="s">
        <v>255</v>
      </c>
      <c r="D553" s="38" t="s">
        <v>54</v>
      </c>
      <c r="E553" s="38" t="s">
        <v>256</v>
      </c>
      <c r="F553" s="38" t="s">
        <v>797</v>
      </c>
      <c r="G553" s="33">
        <f>+G542</f>
        <v>2350000</v>
      </c>
      <c r="H553" s="33">
        <f t="shared" si="49"/>
        <v>701122.5</v>
      </c>
    </row>
    <row r="554" spans="1:8" ht="18" x14ac:dyDescent="0.25">
      <c r="A554" s="11" t="s">
        <v>30</v>
      </c>
      <c r="B554" s="11" t="s">
        <v>173</v>
      </c>
      <c r="C554" s="12" t="s">
        <v>174</v>
      </c>
      <c r="D554" s="72" t="s">
        <v>175</v>
      </c>
      <c r="E554" s="126" t="s">
        <v>798</v>
      </c>
      <c r="F554" s="126"/>
      <c r="G554" s="33"/>
      <c r="H554" s="33"/>
    </row>
    <row r="555" spans="1:8" x14ac:dyDescent="0.25">
      <c r="A555" s="13" t="s">
        <v>33</v>
      </c>
      <c r="B555" s="13" t="s">
        <v>34</v>
      </c>
      <c r="C555" s="14" t="s">
        <v>35</v>
      </c>
      <c r="D555" s="38" t="s">
        <v>16</v>
      </c>
      <c r="E555" s="38" t="s">
        <v>178</v>
      </c>
      <c r="F555" s="38" t="s">
        <v>799</v>
      </c>
      <c r="G555" s="33">
        <f>+G547</f>
        <v>26500</v>
      </c>
      <c r="H555" s="33">
        <f t="shared" ref="H555:H559" si="50">G555*F555</f>
        <v>1940436</v>
      </c>
    </row>
    <row r="556" spans="1:8" x14ac:dyDescent="0.25">
      <c r="A556" s="13" t="s">
        <v>38</v>
      </c>
      <c r="B556" s="13" t="s">
        <v>14</v>
      </c>
      <c r="C556" s="14" t="s">
        <v>15</v>
      </c>
      <c r="D556" s="38" t="s">
        <v>16</v>
      </c>
      <c r="E556" s="38" t="s">
        <v>181</v>
      </c>
      <c r="F556" s="38" t="s">
        <v>800</v>
      </c>
      <c r="G556" s="33">
        <f>+G548</f>
        <v>0</v>
      </c>
      <c r="H556" s="33">
        <f t="shared" si="50"/>
        <v>0</v>
      </c>
    </row>
    <row r="557" spans="1:8" ht="29.25" x14ac:dyDescent="0.25">
      <c r="A557" s="13" t="s">
        <v>41</v>
      </c>
      <c r="B557" s="13" t="s">
        <v>184</v>
      </c>
      <c r="C557" s="14" t="s">
        <v>185</v>
      </c>
      <c r="D557" s="38" t="s">
        <v>21</v>
      </c>
      <c r="E557" s="38" t="s">
        <v>186</v>
      </c>
      <c r="F557" s="38" t="s">
        <v>801</v>
      </c>
      <c r="G557" s="33">
        <f>+G534</f>
        <v>113021</v>
      </c>
      <c r="H557" s="33">
        <f t="shared" si="50"/>
        <v>1235884.635</v>
      </c>
    </row>
    <row r="558" spans="1:8" x14ac:dyDescent="0.25">
      <c r="A558" s="13" t="s">
        <v>46</v>
      </c>
      <c r="B558" s="13" t="s">
        <v>189</v>
      </c>
      <c r="C558" s="14" t="s">
        <v>190</v>
      </c>
      <c r="D558" s="38" t="s">
        <v>21</v>
      </c>
      <c r="E558" s="38" t="s">
        <v>191</v>
      </c>
      <c r="F558" s="38" t="s">
        <v>802</v>
      </c>
      <c r="G558" s="33">
        <f>+G549</f>
        <v>35000</v>
      </c>
      <c r="H558" s="33">
        <f t="shared" si="50"/>
        <v>14175.000000000002</v>
      </c>
    </row>
    <row r="559" spans="1:8" x14ac:dyDescent="0.25">
      <c r="A559" s="13" t="s">
        <v>51</v>
      </c>
      <c r="B559" s="13" t="s">
        <v>193</v>
      </c>
      <c r="C559" s="14" t="s">
        <v>194</v>
      </c>
      <c r="D559" s="38" t="s">
        <v>54</v>
      </c>
      <c r="E559" s="38" t="s">
        <v>195</v>
      </c>
      <c r="F559" s="38" t="s">
        <v>803</v>
      </c>
      <c r="G559" s="33">
        <f>+G551</f>
        <v>0</v>
      </c>
      <c r="H559" s="33">
        <f t="shared" si="50"/>
        <v>0</v>
      </c>
    </row>
    <row r="560" spans="1:8" ht="18" x14ac:dyDescent="0.25">
      <c r="A560" s="11" t="s">
        <v>57</v>
      </c>
      <c r="B560" s="11" t="s">
        <v>198</v>
      </c>
      <c r="C560" s="12" t="s">
        <v>199</v>
      </c>
      <c r="D560" s="72" t="s">
        <v>200</v>
      </c>
      <c r="E560" s="126" t="s">
        <v>804</v>
      </c>
      <c r="F560" s="126"/>
      <c r="G560" s="50">
        <f>104220/1.12</f>
        <v>93053.57142857142</v>
      </c>
      <c r="H560" s="33">
        <f>+G560*E560</f>
        <v>9398410.7142857127</v>
      </c>
    </row>
    <row r="561" spans="1:8" ht="18" x14ac:dyDescent="0.25">
      <c r="A561" s="11" t="s">
        <v>68</v>
      </c>
      <c r="B561" s="11" t="s">
        <v>805</v>
      </c>
      <c r="C561" s="12" t="s">
        <v>806</v>
      </c>
      <c r="D561" s="72" t="s">
        <v>200</v>
      </c>
      <c r="E561" s="126" t="s">
        <v>807</v>
      </c>
      <c r="F561" s="126"/>
      <c r="G561" s="50">
        <f>+G560</f>
        <v>93053.57142857142</v>
      </c>
      <c r="H561" s="33">
        <f>+G561*E561</f>
        <v>15977298.214285713</v>
      </c>
    </row>
    <row r="562" spans="1:8" ht="18" x14ac:dyDescent="0.25">
      <c r="A562" s="11" t="s">
        <v>80</v>
      </c>
      <c r="B562" s="11" t="s">
        <v>162</v>
      </c>
      <c r="C562" s="12" t="s">
        <v>163</v>
      </c>
      <c r="D562" s="72" t="s">
        <v>164</v>
      </c>
      <c r="E562" s="126" t="s">
        <v>808</v>
      </c>
      <c r="F562" s="126"/>
      <c r="G562" s="33"/>
      <c r="H562" s="33"/>
    </row>
    <row r="563" spans="1:8" ht="19.5" x14ac:dyDescent="0.25">
      <c r="A563" s="13" t="s">
        <v>84</v>
      </c>
      <c r="B563" s="13" t="s">
        <v>34</v>
      </c>
      <c r="C563" s="14" t="s">
        <v>35</v>
      </c>
      <c r="D563" s="38" t="s">
        <v>16</v>
      </c>
      <c r="E563" s="38" t="s">
        <v>167</v>
      </c>
      <c r="F563" s="38" t="s">
        <v>809</v>
      </c>
      <c r="G563" s="33">
        <f>+G555</f>
        <v>26500</v>
      </c>
      <c r="H563" s="33">
        <f t="shared" ref="H563:H564" si="51">G563*F563</f>
        <v>607252.79999999993</v>
      </c>
    </row>
    <row r="564" spans="1:8" ht="19.5" x14ac:dyDescent="0.25">
      <c r="A564" s="13" t="s">
        <v>87</v>
      </c>
      <c r="B564" s="13" t="s">
        <v>170</v>
      </c>
      <c r="C564" s="14" t="s">
        <v>171</v>
      </c>
      <c r="D564" s="38" t="s">
        <v>21</v>
      </c>
      <c r="E564" s="38" t="s">
        <v>167</v>
      </c>
      <c r="F564" s="38" t="s">
        <v>809</v>
      </c>
      <c r="G564" s="33">
        <f>+G65</f>
        <v>5500</v>
      </c>
      <c r="H564" s="33">
        <f t="shared" si="51"/>
        <v>126033.59999999999</v>
      </c>
    </row>
    <row r="565" spans="1:8" ht="18" x14ac:dyDescent="0.25">
      <c r="A565" s="11" t="s">
        <v>99</v>
      </c>
      <c r="B565" s="11" t="s">
        <v>510</v>
      </c>
      <c r="C565" s="12" t="s">
        <v>511</v>
      </c>
      <c r="D565" s="72" t="s">
        <v>512</v>
      </c>
      <c r="E565" s="126" t="s">
        <v>810</v>
      </c>
      <c r="F565" s="126"/>
      <c r="G565" s="33"/>
      <c r="H565" s="33"/>
    </row>
    <row r="566" spans="1:8" x14ac:dyDescent="0.25">
      <c r="A566" s="13" t="s">
        <v>101</v>
      </c>
      <c r="B566" s="13" t="s">
        <v>34</v>
      </c>
      <c r="C566" s="14" t="s">
        <v>35</v>
      </c>
      <c r="D566" s="38" t="s">
        <v>16</v>
      </c>
      <c r="E566" s="38" t="s">
        <v>515</v>
      </c>
      <c r="F566" s="38" t="s">
        <v>811</v>
      </c>
      <c r="G566" s="33">
        <f>+G563</f>
        <v>26500</v>
      </c>
      <c r="H566" s="33">
        <f t="shared" ref="H566:H568" si="52">G566*F566</f>
        <v>1846520.0000000002</v>
      </c>
    </row>
    <row r="567" spans="1:8" x14ac:dyDescent="0.25">
      <c r="A567" s="13" t="s">
        <v>103</v>
      </c>
      <c r="B567" s="13" t="s">
        <v>518</v>
      </c>
      <c r="C567" s="14" t="s">
        <v>519</v>
      </c>
      <c r="D567" s="38" t="s">
        <v>21</v>
      </c>
      <c r="E567" s="38" t="s">
        <v>520</v>
      </c>
      <c r="F567" s="38" t="s">
        <v>812</v>
      </c>
      <c r="G567" s="33">
        <f>+G169</f>
        <v>4000</v>
      </c>
      <c r="H567" s="33">
        <f t="shared" si="52"/>
        <v>832</v>
      </c>
    </row>
    <row r="568" spans="1:8" x14ac:dyDescent="0.25">
      <c r="A568" s="13" t="s">
        <v>813</v>
      </c>
      <c r="B568" s="13" t="s">
        <v>522</v>
      </c>
      <c r="C568" s="14" t="s">
        <v>523</v>
      </c>
      <c r="D568" s="38" t="s">
        <v>524</v>
      </c>
      <c r="E568" s="38" t="s">
        <v>525</v>
      </c>
      <c r="F568" s="38" t="s">
        <v>814</v>
      </c>
      <c r="G568" s="33">
        <f>+G170</f>
        <v>0</v>
      </c>
      <c r="H568" s="33">
        <f t="shared" si="52"/>
        <v>0</v>
      </c>
    </row>
    <row r="569" spans="1:8" x14ac:dyDescent="0.25">
      <c r="A569" s="11" t="s">
        <v>104</v>
      </c>
      <c r="B569" s="11" t="s">
        <v>528</v>
      </c>
      <c r="C569" s="12" t="s">
        <v>529</v>
      </c>
      <c r="D569" s="72" t="s">
        <v>530</v>
      </c>
      <c r="E569" s="126" t="s">
        <v>815</v>
      </c>
      <c r="F569" s="126"/>
      <c r="G569" s="33"/>
      <c r="H569" s="33"/>
    </row>
    <row r="570" spans="1:8" x14ac:dyDescent="0.25">
      <c r="A570" s="13" t="s">
        <v>109</v>
      </c>
      <c r="B570" s="13" t="s">
        <v>34</v>
      </c>
      <c r="C570" s="14" t="s">
        <v>35</v>
      </c>
      <c r="D570" s="38" t="s">
        <v>16</v>
      </c>
      <c r="E570" s="38" t="s">
        <v>533</v>
      </c>
      <c r="F570" s="38" t="s">
        <v>816</v>
      </c>
      <c r="G570" s="33">
        <f>+G566</f>
        <v>26500</v>
      </c>
      <c r="H570" s="33">
        <f t="shared" ref="H570:H577" si="53">G570*F570</f>
        <v>3982.42</v>
      </c>
    </row>
    <row r="571" spans="1:8" x14ac:dyDescent="0.25">
      <c r="A571" s="13" t="s">
        <v>817</v>
      </c>
      <c r="B571" s="13" t="s">
        <v>14</v>
      </c>
      <c r="C571" s="14" t="s">
        <v>15</v>
      </c>
      <c r="D571" s="38" t="s">
        <v>16</v>
      </c>
      <c r="E571" s="38" t="s">
        <v>536</v>
      </c>
      <c r="F571" s="38" t="s">
        <v>818</v>
      </c>
      <c r="G571" s="33">
        <f>+G556</f>
        <v>0</v>
      </c>
      <c r="H571" s="33">
        <f t="shared" si="53"/>
        <v>0</v>
      </c>
    </row>
    <row r="572" spans="1:8" ht="19.5" x14ac:dyDescent="0.25">
      <c r="A572" s="13" t="s">
        <v>819</v>
      </c>
      <c r="B572" s="13" t="s">
        <v>539</v>
      </c>
      <c r="C572" s="14" t="s">
        <v>540</v>
      </c>
      <c r="D572" s="38" t="s">
        <v>21</v>
      </c>
      <c r="E572" s="38" t="s">
        <v>541</v>
      </c>
      <c r="F572" s="38" t="s">
        <v>820</v>
      </c>
      <c r="G572" s="33">
        <f>+G183</f>
        <v>113021</v>
      </c>
      <c r="H572" s="33">
        <f t="shared" si="53"/>
        <v>969.72018000000014</v>
      </c>
    </row>
    <row r="573" spans="1:8" x14ac:dyDescent="0.25">
      <c r="A573" s="13" t="s">
        <v>821</v>
      </c>
      <c r="B573" s="13" t="s">
        <v>544</v>
      </c>
      <c r="C573" s="14" t="s">
        <v>545</v>
      </c>
      <c r="D573" s="38" t="s">
        <v>21</v>
      </c>
      <c r="E573" s="38" t="s">
        <v>546</v>
      </c>
      <c r="F573" s="38" t="s">
        <v>822</v>
      </c>
      <c r="G573" s="33">
        <f>+G184</f>
        <v>4000</v>
      </c>
      <c r="H573" s="33">
        <f t="shared" si="53"/>
        <v>187.20000000000002</v>
      </c>
    </row>
    <row r="574" spans="1:8" x14ac:dyDescent="0.25">
      <c r="A574" s="13" t="s">
        <v>823</v>
      </c>
      <c r="B574" s="13" t="s">
        <v>549</v>
      </c>
      <c r="C574" s="14" t="s">
        <v>550</v>
      </c>
      <c r="D574" s="38" t="s">
        <v>21</v>
      </c>
      <c r="E574" s="38" t="s">
        <v>551</v>
      </c>
      <c r="F574" s="38" t="s">
        <v>824</v>
      </c>
      <c r="G574" s="33">
        <f>+G185</f>
        <v>0</v>
      </c>
      <c r="H574" s="33">
        <f t="shared" si="53"/>
        <v>0</v>
      </c>
    </row>
    <row r="575" spans="1:8" x14ac:dyDescent="0.25">
      <c r="A575" s="13" t="s">
        <v>825</v>
      </c>
      <c r="B575" s="13" t="s">
        <v>239</v>
      </c>
      <c r="C575" s="14" t="s">
        <v>190</v>
      </c>
      <c r="D575" s="38" t="s">
        <v>21</v>
      </c>
      <c r="E575" s="38" t="s">
        <v>554</v>
      </c>
      <c r="F575" s="38" t="s">
        <v>826</v>
      </c>
      <c r="G575" s="33">
        <f>+G558</f>
        <v>35000</v>
      </c>
      <c r="H575" s="33">
        <f t="shared" si="53"/>
        <v>455</v>
      </c>
    </row>
    <row r="576" spans="1:8" ht="19.5" x14ac:dyDescent="0.25">
      <c r="A576" s="13" t="s">
        <v>827</v>
      </c>
      <c r="B576" s="13" t="s">
        <v>557</v>
      </c>
      <c r="C576" s="14" t="s">
        <v>558</v>
      </c>
      <c r="D576" s="38" t="s">
        <v>60</v>
      </c>
      <c r="E576" s="38" t="s">
        <v>559</v>
      </c>
      <c r="F576" s="38" t="s">
        <v>828</v>
      </c>
      <c r="G576" s="33">
        <f>+G187</f>
        <v>4500000</v>
      </c>
      <c r="H576" s="33">
        <f t="shared" si="53"/>
        <v>37440</v>
      </c>
    </row>
    <row r="577" spans="1:8" x14ac:dyDescent="0.25">
      <c r="A577" s="13" t="s">
        <v>829</v>
      </c>
      <c r="B577" s="13" t="s">
        <v>562</v>
      </c>
      <c r="C577" s="14" t="s">
        <v>563</v>
      </c>
      <c r="D577" s="38" t="s">
        <v>60</v>
      </c>
      <c r="E577" s="38" t="s">
        <v>564</v>
      </c>
      <c r="F577" s="38" t="s">
        <v>830</v>
      </c>
      <c r="G577" s="33">
        <f>+G188</f>
        <v>1500000</v>
      </c>
      <c r="H577" s="33">
        <f t="shared" si="53"/>
        <v>28080</v>
      </c>
    </row>
    <row r="578" spans="1:8" x14ac:dyDescent="0.25">
      <c r="A578" s="11" t="s">
        <v>112</v>
      </c>
      <c r="B578" s="11" t="s">
        <v>567</v>
      </c>
      <c r="C578" s="12" t="s">
        <v>568</v>
      </c>
      <c r="D578" s="72" t="s">
        <v>530</v>
      </c>
      <c r="E578" s="126" t="s">
        <v>831</v>
      </c>
      <c r="F578" s="126"/>
      <c r="G578" s="33"/>
      <c r="H578" s="33"/>
    </row>
    <row r="579" spans="1:8" x14ac:dyDescent="0.25">
      <c r="A579" s="13" t="s">
        <v>115</v>
      </c>
      <c r="B579" s="13" t="s">
        <v>34</v>
      </c>
      <c r="C579" s="14" t="s">
        <v>35</v>
      </c>
      <c r="D579" s="38" t="s">
        <v>16</v>
      </c>
      <c r="E579" s="38" t="s">
        <v>571</v>
      </c>
      <c r="F579" s="38" t="s">
        <v>832</v>
      </c>
      <c r="G579" s="33">
        <f t="shared" ref="G579:G586" si="54">+G570</f>
        <v>26500</v>
      </c>
      <c r="H579" s="33">
        <f t="shared" ref="H579:H586" si="55">G579*F579</f>
        <v>115552.18999999999</v>
      </c>
    </row>
    <row r="580" spans="1:8" x14ac:dyDescent="0.25">
      <c r="A580" s="13" t="s">
        <v>118</v>
      </c>
      <c r="B580" s="13" t="s">
        <v>14</v>
      </c>
      <c r="C580" s="14" t="s">
        <v>15</v>
      </c>
      <c r="D580" s="38" t="s">
        <v>16</v>
      </c>
      <c r="E580" s="38" t="s">
        <v>574</v>
      </c>
      <c r="F580" s="38" t="s">
        <v>833</v>
      </c>
      <c r="G580" s="33">
        <f t="shared" si="54"/>
        <v>0</v>
      </c>
      <c r="H580" s="33">
        <f t="shared" si="55"/>
        <v>0</v>
      </c>
    </row>
    <row r="581" spans="1:8" ht="19.5" x14ac:dyDescent="0.25">
      <c r="A581" s="13" t="s">
        <v>119</v>
      </c>
      <c r="B581" s="13" t="s">
        <v>539</v>
      </c>
      <c r="C581" s="14" t="s">
        <v>540</v>
      </c>
      <c r="D581" s="38" t="s">
        <v>21</v>
      </c>
      <c r="E581" s="38" t="s">
        <v>541</v>
      </c>
      <c r="F581" s="38" t="s">
        <v>834</v>
      </c>
      <c r="G581" s="33">
        <f t="shared" si="54"/>
        <v>113021</v>
      </c>
      <c r="H581" s="33">
        <f t="shared" si="55"/>
        <v>15030.66279</v>
      </c>
    </row>
    <row r="582" spans="1:8" x14ac:dyDescent="0.25">
      <c r="A582" s="13" t="s">
        <v>835</v>
      </c>
      <c r="B582" s="13" t="s">
        <v>544</v>
      </c>
      <c r="C582" s="14" t="s">
        <v>545</v>
      </c>
      <c r="D582" s="38" t="s">
        <v>21</v>
      </c>
      <c r="E582" s="38" t="s">
        <v>579</v>
      </c>
      <c r="F582" s="38" t="s">
        <v>836</v>
      </c>
      <c r="G582" s="33">
        <f t="shared" si="54"/>
        <v>4000</v>
      </c>
      <c r="H582" s="33">
        <f t="shared" si="55"/>
        <v>6754.28</v>
      </c>
    </row>
    <row r="583" spans="1:8" x14ac:dyDescent="0.25">
      <c r="A583" s="13" t="s">
        <v>837</v>
      </c>
      <c r="B583" s="13" t="s">
        <v>549</v>
      </c>
      <c r="C583" s="14" t="s">
        <v>550</v>
      </c>
      <c r="D583" s="38" t="s">
        <v>21</v>
      </c>
      <c r="E583" s="38" t="s">
        <v>582</v>
      </c>
      <c r="F583" s="38" t="s">
        <v>838</v>
      </c>
      <c r="G583" s="33">
        <f t="shared" si="54"/>
        <v>0</v>
      </c>
      <c r="H583" s="33">
        <f t="shared" si="55"/>
        <v>0</v>
      </c>
    </row>
    <row r="584" spans="1:8" x14ac:dyDescent="0.25">
      <c r="A584" s="13" t="s">
        <v>839</v>
      </c>
      <c r="B584" s="13" t="s">
        <v>239</v>
      </c>
      <c r="C584" s="14" t="s">
        <v>190</v>
      </c>
      <c r="D584" s="38" t="s">
        <v>21</v>
      </c>
      <c r="E584" s="38" t="s">
        <v>554</v>
      </c>
      <c r="F584" s="38" t="s">
        <v>840</v>
      </c>
      <c r="G584" s="33">
        <f t="shared" si="54"/>
        <v>35000</v>
      </c>
      <c r="H584" s="33">
        <f t="shared" si="55"/>
        <v>7052.5</v>
      </c>
    </row>
    <row r="585" spans="1:8" ht="19.5" x14ac:dyDescent="0.25">
      <c r="A585" s="13" t="s">
        <v>841</v>
      </c>
      <c r="B585" s="13" t="s">
        <v>557</v>
      </c>
      <c r="C585" s="14" t="s">
        <v>558</v>
      </c>
      <c r="D585" s="38" t="s">
        <v>60</v>
      </c>
      <c r="E585" s="38" t="s">
        <v>587</v>
      </c>
      <c r="F585" s="38" t="s">
        <v>842</v>
      </c>
      <c r="G585" s="33">
        <f t="shared" si="54"/>
        <v>4500000</v>
      </c>
      <c r="H585" s="33">
        <f t="shared" si="55"/>
        <v>1341990</v>
      </c>
    </row>
    <row r="586" spans="1:8" x14ac:dyDescent="0.25">
      <c r="A586" s="13" t="s">
        <v>843</v>
      </c>
      <c r="B586" s="13" t="s">
        <v>562</v>
      </c>
      <c r="C586" s="14" t="s">
        <v>563</v>
      </c>
      <c r="D586" s="38" t="s">
        <v>60</v>
      </c>
      <c r="E586" s="38" t="s">
        <v>590</v>
      </c>
      <c r="F586" s="38" t="s">
        <v>844</v>
      </c>
      <c r="G586" s="33">
        <f t="shared" si="54"/>
        <v>1500000</v>
      </c>
      <c r="H586" s="33">
        <f t="shared" si="55"/>
        <v>187395</v>
      </c>
    </row>
    <row r="587" spans="1:8" ht="18" x14ac:dyDescent="0.25">
      <c r="A587" s="11" t="s">
        <v>122</v>
      </c>
      <c r="B587" s="11" t="s">
        <v>483</v>
      </c>
      <c r="C587" s="12" t="s">
        <v>484</v>
      </c>
      <c r="D587" s="72" t="s">
        <v>60</v>
      </c>
      <c r="E587" s="126" t="s">
        <v>845</v>
      </c>
      <c r="F587" s="126"/>
      <c r="G587" s="33"/>
      <c r="H587" s="33"/>
    </row>
    <row r="588" spans="1:8" x14ac:dyDescent="0.25">
      <c r="A588" s="13" t="s">
        <v>125</v>
      </c>
      <c r="B588" s="13" t="s">
        <v>34</v>
      </c>
      <c r="C588" s="14" t="s">
        <v>35</v>
      </c>
      <c r="D588" s="38" t="s">
        <v>16</v>
      </c>
      <c r="E588" s="38" t="s">
        <v>487</v>
      </c>
      <c r="F588" s="38" t="s">
        <v>846</v>
      </c>
      <c r="G588" s="33">
        <f>+G579</f>
        <v>26500</v>
      </c>
      <c r="H588" s="33">
        <f t="shared" ref="H588:H594" si="56">G588*F588</f>
        <v>120319.01</v>
      </c>
    </row>
    <row r="589" spans="1:8" x14ac:dyDescent="0.25">
      <c r="A589" s="13" t="s">
        <v>128</v>
      </c>
      <c r="B589" s="13" t="s">
        <v>14</v>
      </c>
      <c r="C589" s="14" t="s">
        <v>15</v>
      </c>
      <c r="D589" s="38" t="s">
        <v>16</v>
      </c>
      <c r="E589" s="38" t="s">
        <v>490</v>
      </c>
      <c r="F589" s="38" t="s">
        <v>847</v>
      </c>
      <c r="G589" s="33">
        <f>+G580</f>
        <v>0</v>
      </c>
      <c r="H589" s="33">
        <f t="shared" si="56"/>
        <v>0</v>
      </c>
    </row>
    <row r="590" spans="1:8" ht="29.25" x14ac:dyDescent="0.25">
      <c r="A590" s="13" t="s">
        <v>131</v>
      </c>
      <c r="B590" s="13" t="s">
        <v>313</v>
      </c>
      <c r="C590" s="14" t="s">
        <v>314</v>
      </c>
      <c r="D590" s="38" t="s">
        <v>21</v>
      </c>
      <c r="E590" s="38" t="s">
        <v>493</v>
      </c>
      <c r="F590" s="38" t="s">
        <v>848</v>
      </c>
      <c r="G590" s="33">
        <f>+G557</f>
        <v>113021</v>
      </c>
      <c r="H590" s="33">
        <f t="shared" si="56"/>
        <v>19383.101500000001</v>
      </c>
    </row>
    <row r="591" spans="1:8" ht="19.5" x14ac:dyDescent="0.25">
      <c r="A591" s="13" t="s">
        <v>136</v>
      </c>
      <c r="B591" s="13" t="s">
        <v>496</v>
      </c>
      <c r="C591" s="14" t="s">
        <v>497</v>
      </c>
      <c r="D591" s="38" t="s">
        <v>21</v>
      </c>
      <c r="E591" s="38" t="s">
        <v>498</v>
      </c>
      <c r="F591" s="38" t="s">
        <v>849</v>
      </c>
      <c r="G591" s="33">
        <f>+G163</f>
        <v>22300</v>
      </c>
      <c r="H591" s="33">
        <f t="shared" si="56"/>
        <v>19275.227999999999</v>
      </c>
    </row>
    <row r="592" spans="1:8" x14ac:dyDescent="0.25">
      <c r="A592" s="13" t="s">
        <v>139</v>
      </c>
      <c r="B592" s="13" t="s">
        <v>239</v>
      </c>
      <c r="C592" s="14" t="s">
        <v>190</v>
      </c>
      <c r="D592" s="38" t="s">
        <v>21</v>
      </c>
      <c r="E592" s="38" t="s">
        <v>501</v>
      </c>
      <c r="F592" s="38" t="s">
        <v>850</v>
      </c>
      <c r="G592" s="33">
        <f>+G584</f>
        <v>35000</v>
      </c>
      <c r="H592" s="33">
        <f t="shared" si="56"/>
        <v>9020.9000000000015</v>
      </c>
    </row>
    <row r="593" spans="1:8" ht="19.5" x14ac:dyDescent="0.25">
      <c r="A593" s="13" t="s">
        <v>851</v>
      </c>
      <c r="B593" s="13" t="s">
        <v>504</v>
      </c>
      <c r="C593" s="14" t="s">
        <v>505</v>
      </c>
      <c r="D593" s="38" t="s">
        <v>60</v>
      </c>
      <c r="E593" s="38" t="s">
        <v>8</v>
      </c>
      <c r="F593" s="38" t="s">
        <v>845</v>
      </c>
      <c r="G593" s="33">
        <f>+G165</f>
        <v>8500000</v>
      </c>
      <c r="H593" s="33">
        <f t="shared" si="56"/>
        <v>833000</v>
      </c>
    </row>
    <row r="594" spans="1:8" x14ac:dyDescent="0.25">
      <c r="A594" s="13" t="s">
        <v>852</v>
      </c>
      <c r="B594" s="13" t="s">
        <v>404</v>
      </c>
      <c r="C594" s="14" t="s">
        <v>405</v>
      </c>
      <c r="D594" s="38" t="s">
        <v>60</v>
      </c>
      <c r="E594" s="38" t="s">
        <v>507</v>
      </c>
      <c r="F594" s="38" t="s">
        <v>853</v>
      </c>
      <c r="G594" s="33">
        <f>+G540</f>
        <v>22500000</v>
      </c>
      <c r="H594" s="33">
        <f t="shared" si="56"/>
        <v>15435</v>
      </c>
    </row>
    <row r="595" spans="1:8" x14ac:dyDescent="0.25">
      <c r="A595" s="11" t="s">
        <v>142</v>
      </c>
      <c r="B595" s="11" t="s">
        <v>465</v>
      </c>
      <c r="C595" s="12" t="s">
        <v>466</v>
      </c>
      <c r="D595" s="72" t="s">
        <v>164</v>
      </c>
      <c r="E595" s="126" t="s">
        <v>122</v>
      </c>
      <c r="F595" s="126"/>
      <c r="G595" s="33"/>
      <c r="H595" s="33"/>
    </row>
    <row r="596" spans="1:8" x14ac:dyDescent="0.25">
      <c r="A596" s="13" t="s">
        <v>147</v>
      </c>
      <c r="B596" s="13" t="s">
        <v>34</v>
      </c>
      <c r="C596" s="14" t="s">
        <v>35</v>
      </c>
      <c r="D596" s="38" t="s">
        <v>16</v>
      </c>
      <c r="E596" s="38" t="s">
        <v>468</v>
      </c>
      <c r="F596" s="38" t="s">
        <v>854</v>
      </c>
      <c r="G596" s="33">
        <f>+G588</f>
        <v>26500</v>
      </c>
      <c r="H596" s="33">
        <f t="shared" ref="H596:H600" si="57">G596*F596</f>
        <v>347150</v>
      </c>
    </row>
    <row r="597" spans="1:8" x14ac:dyDescent="0.25">
      <c r="A597" s="13" t="s">
        <v>150</v>
      </c>
      <c r="B597" s="13" t="s">
        <v>14</v>
      </c>
      <c r="C597" s="14" t="s">
        <v>15</v>
      </c>
      <c r="D597" s="38" t="s">
        <v>16</v>
      </c>
      <c r="E597" s="38" t="s">
        <v>471</v>
      </c>
      <c r="F597" s="38" t="s">
        <v>718</v>
      </c>
      <c r="G597" s="33">
        <f>+G589</f>
        <v>0</v>
      </c>
      <c r="H597" s="33">
        <f t="shared" si="57"/>
        <v>0</v>
      </c>
    </row>
    <row r="598" spans="1:8" x14ac:dyDescent="0.25">
      <c r="A598" s="13" t="s">
        <v>153</v>
      </c>
      <c r="B598" s="13" t="s">
        <v>189</v>
      </c>
      <c r="C598" s="14" t="s">
        <v>190</v>
      </c>
      <c r="D598" s="38" t="s">
        <v>21</v>
      </c>
      <c r="E598" s="38" t="s">
        <v>471</v>
      </c>
      <c r="F598" s="38" t="s">
        <v>718</v>
      </c>
      <c r="G598" s="33">
        <f>+G592</f>
        <v>35000</v>
      </c>
      <c r="H598" s="33">
        <f t="shared" si="57"/>
        <v>24500</v>
      </c>
    </row>
    <row r="599" spans="1:8" x14ac:dyDescent="0.25">
      <c r="A599" s="13" t="s">
        <v>156</v>
      </c>
      <c r="B599" s="13" t="s">
        <v>475</v>
      </c>
      <c r="C599" s="14" t="s">
        <v>476</v>
      </c>
      <c r="D599" s="38" t="s">
        <v>54</v>
      </c>
      <c r="E599" s="38" t="s">
        <v>477</v>
      </c>
      <c r="F599" s="38" t="s">
        <v>406</v>
      </c>
      <c r="G599" s="33">
        <f>+G157</f>
        <v>566043</v>
      </c>
      <c r="H599" s="33">
        <f t="shared" si="57"/>
        <v>4528.3440000000001</v>
      </c>
    </row>
    <row r="600" spans="1:8" x14ac:dyDescent="0.25">
      <c r="A600" s="13" t="s">
        <v>658</v>
      </c>
      <c r="B600" s="13" t="s">
        <v>480</v>
      </c>
      <c r="C600" s="14" t="s">
        <v>481</v>
      </c>
      <c r="D600" s="38" t="s">
        <v>164</v>
      </c>
      <c r="E600" s="38" t="s">
        <v>8</v>
      </c>
      <c r="F600" s="38" t="s">
        <v>122</v>
      </c>
      <c r="G600" s="33">
        <f>+G158</f>
        <v>1000000</v>
      </c>
      <c r="H600" s="33">
        <f t="shared" si="57"/>
        <v>10000000</v>
      </c>
    </row>
    <row r="601" spans="1:8" ht="33.75" customHeight="1" x14ac:dyDescent="0.25">
      <c r="A601" s="6"/>
      <c r="B601" s="124" t="s">
        <v>1706</v>
      </c>
      <c r="C601" s="124"/>
      <c r="D601" s="124"/>
      <c r="E601" s="36"/>
      <c r="F601" s="36"/>
      <c r="G601" s="33"/>
      <c r="H601" s="33"/>
    </row>
    <row r="602" spans="1:8" ht="42" x14ac:dyDescent="0.25">
      <c r="A602" s="15" t="s">
        <v>8</v>
      </c>
      <c r="B602" s="16" t="s">
        <v>856</v>
      </c>
      <c r="C602" s="16" t="s">
        <v>857</v>
      </c>
      <c r="D602" s="77" t="s">
        <v>11</v>
      </c>
      <c r="E602" s="125">
        <v>0.128</v>
      </c>
      <c r="F602" s="125"/>
      <c r="G602" s="33"/>
      <c r="H602" s="33"/>
    </row>
    <row r="603" spans="1:8" x14ac:dyDescent="0.25">
      <c r="A603" s="17" t="s">
        <v>13</v>
      </c>
      <c r="B603" s="18" t="s">
        <v>30</v>
      </c>
      <c r="C603" s="19" t="s">
        <v>15</v>
      </c>
      <c r="D603" s="78" t="s">
        <v>858</v>
      </c>
      <c r="E603" s="40">
        <v>43.66</v>
      </c>
      <c r="F603" s="40">
        <v>5.5884799999999997</v>
      </c>
      <c r="G603" s="33">
        <f>+G597</f>
        <v>0</v>
      </c>
      <c r="H603" s="33">
        <f t="shared" ref="H603:H604" si="58">G603*F603</f>
        <v>0</v>
      </c>
    </row>
    <row r="604" spans="1:8" ht="45" x14ac:dyDescent="0.25">
      <c r="A604" s="20" t="s">
        <v>18</v>
      </c>
      <c r="B604" s="21" t="s">
        <v>859</v>
      </c>
      <c r="C604" s="22" t="s">
        <v>860</v>
      </c>
      <c r="D604" s="79" t="s">
        <v>861</v>
      </c>
      <c r="E604" s="41">
        <v>43.66</v>
      </c>
      <c r="F604" s="41">
        <v>5.5884999999999998</v>
      </c>
      <c r="G604" s="35">
        <f>+G28</f>
        <v>314602</v>
      </c>
      <c r="H604" s="33">
        <f t="shared" si="58"/>
        <v>1758153.277</v>
      </c>
    </row>
    <row r="605" spans="1:8" ht="105" x14ac:dyDescent="0.25">
      <c r="A605" s="15" t="s">
        <v>23</v>
      </c>
      <c r="B605" s="16" t="s">
        <v>862</v>
      </c>
      <c r="C605" s="16" t="s">
        <v>863</v>
      </c>
      <c r="D605" s="77" t="s">
        <v>11</v>
      </c>
      <c r="E605" s="125">
        <v>0.128</v>
      </c>
      <c r="F605" s="125"/>
      <c r="G605" s="33"/>
      <c r="H605" s="33"/>
    </row>
    <row r="606" spans="1:8" x14ac:dyDescent="0.25">
      <c r="A606" s="17" t="s">
        <v>26</v>
      </c>
      <c r="B606" s="18" t="s">
        <v>30</v>
      </c>
      <c r="C606" s="19" t="s">
        <v>15</v>
      </c>
      <c r="D606" s="78" t="s">
        <v>858</v>
      </c>
      <c r="E606" s="40">
        <v>9.9109999999999996</v>
      </c>
      <c r="F606" s="40">
        <v>1.2685999999999999</v>
      </c>
      <c r="G606" s="33">
        <f>+G603</f>
        <v>0</v>
      </c>
      <c r="H606" s="33">
        <f t="shared" ref="H606:H607" si="59">G606*F606</f>
        <v>0</v>
      </c>
    </row>
    <row r="607" spans="1:8" ht="33.75" x14ac:dyDescent="0.25">
      <c r="A607" s="20" t="s">
        <v>29</v>
      </c>
      <c r="B607" s="21" t="s">
        <v>864</v>
      </c>
      <c r="C607" s="22" t="s">
        <v>20</v>
      </c>
      <c r="D607" s="79" t="s">
        <v>861</v>
      </c>
      <c r="E607" s="41">
        <v>9.9109999999999996</v>
      </c>
      <c r="F607" s="41">
        <v>1.2685999999999999</v>
      </c>
      <c r="G607" s="33">
        <f>+G270</f>
        <v>162930</v>
      </c>
      <c r="H607" s="33">
        <f t="shared" si="59"/>
        <v>206692.99799999999</v>
      </c>
    </row>
    <row r="608" spans="1:8" ht="31.5" x14ac:dyDescent="0.25">
      <c r="A608" s="15" t="s">
        <v>30</v>
      </c>
      <c r="B608" s="16" t="s">
        <v>865</v>
      </c>
      <c r="C608" s="16" t="s">
        <v>866</v>
      </c>
      <c r="D608" s="77" t="s">
        <v>11</v>
      </c>
      <c r="E608" s="125">
        <v>0.128</v>
      </c>
      <c r="F608" s="125"/>
      <c r="G608" s="33"/>
      <c r="H608" s="33"/>
    </row>
    <row r="609" spans="1:8" x14ac:dyDescent="0.25">
      <c r="A609" s="17" t="s">
        <v>33</v>
      </c>
      <c r="B609" s="18" t="s">
        <v>30</v>
      </c>
      <c r="C609" s="19" t="s">
        <v>15</v>
      </c>
      <c r="D609" s="78" t="s">
        <v>858</v>
      </c>
      <c r="E609" s="40">
        <v>9.24</v>
      </c>
      <c r="F609" s="40">
        <v>1.1827000000000001</v>
      </c>
      <c r="G609" s="33">
        <f>+G606</f>
        <v>0</v>
      </c>
      <c r="H609" s="33">
        <f t="shared" ref="H609:H610" si="60">G609*F609</f>
        <v>0</v>
      </c>
    </row>
    <row r="610" spans="1:8" ht="33.75" x14ac:dyDescent="0.25">
      <c r="A610" s="20" t="s">
        <v>38</v>
      </c>
      <c r="B610" s="21" t="s">
        <v>864</v>
      </c>
      <c r="C610" s="22" t="s">
        <v>20</v>
      </c>
      <c r="D610" s="79" t="s">
        <v>861</v>
      </c>
      <c r="E610" s="41">
        <v>9.24</v>
      </c>
      <c r="F610" s="41">
        <v>1.1827000000000001</v>
      </c>
      <c r="G610" s="33">
        <f>+G607</f>
        <v>162930</v>
      </c>
      <c r="H610" s="33">
        <f t="shared" si="60"/>
        <v>192697.31100000002</v>
      </c>
    </row>
    <row r="611" spans="1:8" ht="42" x14ac:dyDescent="0.25">
      <c r="A611" s="15" t="s">
        <v>57</v>
      </c>
      <c r="B611" s="16" t="s">
        <v>867</v>
      </c>
      <c r="C611" s="16" t="s">
        <v>868</v>
      </c>
      <c r="D611" s="77" t="s">
        <v>107</v>
      </c>
      <c r="E611" s="125">
        <v>0.1037</v>
      </c>
      <c r="F611" s="125"/>
      <c r="G611" s="33"/>
      <c r="H611" s="33"/>
    </row>
    <row r="612" spans="1:8" x14ac:dyDescent="0.25">
      <c r="A612" s="17" t="s">
        <v>62</v>
      </c>
      <c r="B612" s="18" t="s">
        <v>8</v>
      </c>
      <c r="C612" s="19" t="s">
        <v>35</v>
      </c>
      <c r="D612" s="78" t="s">
        <v>858</v>
      </c>
      <c r="E612" s="40">
        <v>536.79999999999995</v>
      </c>
      <c r="F612" s="40">
        <v>55.666200000000003</v>
      </c>
      <c r="G612" s="33">
        <f>+G596</f>
        <v>26500</v>
      </c>
      <c r="H612" s="33">
        <f t="shared" ref="H612:H629" si="61">G612*F612</f>
        <v>1475154.3</v>
      </c>
    </row>
    <row r="613" spans="1:8" x14ac:dyDescent="0.25">
      <c r="A613" s="17" t="s">
        <v>65</v>
      </c>
      <c r="B613" s="18" t="s">
        <v>30</v>
      </c>
      <c r="C613" s="19" t="s">
        <v>15</v>
      </c>
      <c r="D613" s="78" t="s">
        <v>858</v>
      </c>
      <c r="E613" s="40">
        <v>75.03</v>
      </c>
      <c r="F613" s="40">
        <v>7.7805999999999997</v>
      </c>
      <c r="G613" s="33">
        <f>+G609</f>
        <v>0</v>
      </c>
      <c r="H613" s="33">
        <f t="shared" si="61"/>
        <v>0</v>
      </c>
    </row>
    <row r="614" spans="1:8" x14ac:dyDescent="0.25">
      <c r="A614" s="20" t="s">
        <v>869</v>
      </c>
      <c r="B614" s="21" t="s">
        <v>870</v>
      </c>
      <c r="C614" s="22" t="s">
        <v>871</v>
      </c>
      <c r="D614" s="79" t="s">
        <v>861</v>
      </c>
      <c r="E614" s="41">
        <v>89.9</v>
      </c>
      <c r="F614" s="41">
        <v>9.3225999999999996</v>
      </c>
      <c r="G614" s="35">
        <f>+G112</f>
        <v>500</v>
      </c>
      <c r="H614" s="33">
        <f t="shared" si="61"/>
        <v>4661.3</v>
      </c>
    </row>
    <row r="615" spans="1:8" ht="33.75" x14ac:dyDescent="0.25">
      <c r="A615" s="20" t="s">
        <v>872</v>
      </c>
      <c r="B615" s="21" t="s">
        <v>873</v>
      </c>
      <c r="C615" s="22" t="s">
        <v>309</v>
      </c>
      <c r="D615" s="79" t="s">
        <v>861</v>
      </c>
      <c r="E615" s="41">
        <v>7.77</v>
      </c>
      <c r="F615" s="41">
        <v>0.80574900000000005</v>
      </c>
      <c r="G615" s="33">
        <f>+G113</f>
        <v>25300</v>
      </c>
      <c r="H615" s="33">
        <f t="shared" si="61"/>
        <v>20385.449700000001</v>
      </c>
    </row>
    <row r="616" spans="1:8" ht="33.75" x14ac:dyDescent="0.25">
      <c r="A616" s="20" t="s">
        <v>874</v>
      </c>
      <c r="B616" s="21" t="s">
        <v>875</v>
      </c>
      <c r="C616" s="22" t="s">
        <v>314</v>
      </c>
      <c r="D616" s="79" t="s">
        <v>861</v>
      </c>
      <c r="E616" s="41">
        <v>67.25</v>
      </c>
      <c r="F616" s="41">
        <v>6.9737999999999998</v>
      </c>
      <c r="G616" s="33">
        <f>+G590</f>
        <v>113021</v>
      </c>
      <c r="H616" s="33">
        <f t="shared" si="61"/>
        <v>788185.84979999997</v>
      </c>
    </row>
    <row r="617" spans="1:8" ht="33.75" x14ac:dyDescent="0.25">
      <c r="A617" s="20" t="s">
        <v>876</v>
      </c>
      <c r="B617" s="21" t="s">
        <v>877</v>
      </c>
      <c r="C617" s="22" t="s">
        <v>878</v>
      </c>
      <c r="D617" s="79" t="s">
        <v>861</v>
      </c>
      <c r="E617" s="41">
        <v>1.44</v>
      </c>
      <c r="F617" s="41">
        <v>0.14932799999999999</v>
      </c>
      <c r="G617" s="32">
        <v>22300</v>
      </c>
      <c r="H617" s="33">
        <f t="shared" si="61"/>
        <v>3330.0143999999996</v>
      </c>
    </row>
    <row r="618" spans="1:8" x14ac:dyDescent="0.25">
      <c r="A618" s="20" t="s">
        <v>879</v>
      </c>
      <c r="B618" s="21" t="s">
        <v>880</v>
      </c>
      <c r="C618" s="22" t="s">
        <v>881</v>
      </c>
      <c r="D618" s="79" t="s">
        <v>861</v>
      </c>
      <c r="E618" s="41">
        <v>1.73</v>
      </c>
      <c r="F618" s="41">
        <v>0.179401</v>
      </c>
      <c r="G618" s="32">
        <v>0</v>
      </c>
      <c r="H618" s="33">
        <f t="shared" si="61"/>
        <v>0</v>
      </c>
    </row>
    <row r="619" spans="1:8" ht="22.5" x14ac:dyDescent="0.25">
      <c r="A619" s="20" t="s">
        <v>882</v>
      </c>
      <c r="B619" s="21" t="s">
        <v>883</v>
      </c>
      <c r="C619" s="22" t="s">
        <v>190</v>
      </c>
      <c r="D619" s="79" t="s">
        <v>861</v>
      </c>
      <c r="E619" s="41">
        <v>0.01</v>
      </c>
      <c r="F619" s="41">
        <v>1.0369999999999999E-3</v>
      </c>
      <c r="G619" s="33">
        <f>+G598</f>
        <v>35000</v>
      </c>
      <c r="H619" s="33">
        <f t="shared" si="61"/>
        <v>36.294999999999995</v>
      </c>
    </row>
    <row r="620" spans="1:8" ht="22.5" x14ac:dyDescent="0.25">
      <c r="A620" s="23" t="s">
        <v>884</v>
      </c>
      <c r="B620" s="24" t="s">
        <v>885</v>
      </c>
      <c r="C620" s="25" t="s">
        <v>886</v>
      </c>
      <c r="D620" s="80" t="s">
        <v>54</v>
      </c>
      <c r="E620" s="42">
        <v>104</v>
      </c>
      <c r="F620" s="42">
        <v>10.784800000000001</v>
      </c>
      <c r="G620" s="50">
        <f>466043*1</f>
        <v>466043</v>
      </c>
      <c r="H620" s="33">
        <f t="shared" si="61"/>
        <v>5026180.5464000003</v>
      </c>
    </row>
    <row r="621" spans="1:8" x14ac:dyDescent="0.25">
      <c r="A621" s="23" t="s">
        <v>887</v>
      </c>
      <c r="B621" s="24" t="s">
        <v>888</v>
      </c>
      <c r="C621" s="25" t="s">
        <v>194</v>
      </c>
      <c r="D621" s="80" t="s">
        <v>54</v>
      </c>
      <c r="E621" s="42">
        <v>12.2</v>
      </c>
      <c r="F621" s="42">
        <v>1.2650999999999999</v>
      </c>
      <c r="G621" s="33">
        <f>+G559</f>
        <v>0</v>
      </c>
      <c r="H621" s="33">
        <f t="shared" si="61"/>
        <v>0</v>
      </c>
    </row>
    <row r="622" spans="1:8" x14ac:dyDescent="0.25">
      <c r="A622" s="23" t="s">
        <v>889</v>
      </c>
      <c r="B622" s="24" t="s">
        <v>890</v>
      </c>
      <c r="C622" s="25" t="s">
        <v>250</v>
      </c>
      <c r="D622" s="80" t="s">
        <v>60</v>
      </c>
      <c r="E622" s="42">
        <v>3.0000000000000001E-3</v>
      </c>
      <c r="F622" s="42">
        <v>3.1100000000000002E-4</v>
      </c>
      <c r="G622" s="33">
        <f>+G552</f>
        <v>11500000</v>
      </c>
      <c r="H622" s="33">
        <f t="shared" si="61"/>
        <v>3576.5000000000005</v>
      </c>
    </row>
    <row r="623" spans="1:8" ht="22.5" x14ac:dyDescent="0.25">
      <c r="A623" s="23" t="s">
        <v>891</v>
      </c>
      <c r="B623" s="24" t="s">
        <v>892</v>
      </c>
      <c r="C623" s="25" t="s">
        <v>893</v>
      </c>
      <c r="D623" s="80" t="s">
        <v>60</v>
      </c>
      <c r="E623" s="42">
        <v>5.45E-2</v>
      </c>
      <c r="F623" s="42">
        <v>5.6519999999999999E-3</v>
      </c>
      <c r="G623" s="32">
        <v>12500000</v>
      </c>
      <c r="H623" s="33">
        <f t="shared" si="61"/>
        <v>70650</v>
      </c>
    </row>
    <row r="624" spans="1:8" x14ac:dyDescent="0.25">
      <c r="A624" s="23" t="s">
        <v>894</v>
      </c>
      <c r="B624" s="24" t="s">
        <v>895</v>
      </c>
      <c r="C624" s="25" t="s">
        <v>896</v>
      </c>
      <c r="D624" s="80" t="s">
        <v>367</v>
      </c>
      <c r="E624" s="42">
        <v>83</v>
      </c>
      <c r="F624" s="42">
        <v>8.6071000000000009</v>
      </c>
      <c r="G624" s="32">
        <v>2500</v>
      </c>
      <c r="H624" s="33">
        <f t="shared" si="61"/>
        <v>21517.750000000004</v>
      </c>
    </row>
    <row r="625" spans="1:8" ht="22.5" x14ac:dyDescent="0.25">
      <c r="A625" s="23" t="s">
        <v>897</v>
      </c>
      <c r="B625" s="24" t="s">
        <v>898</v>
      </c>
      <c r="C625" s="25" t="s">
        <v>899</v>
      </c>
      <c r="D625" s="80" t="s">
        <v>60</v>
      </c>
      <c r="E625" s="42">
        <v>0.2</v>
      </c>
      <c r="F625" s="42">
        <v>2.0740000000000001E-2</v>
      </c>
      <c r="G625" s="32">
        <v>600000</v>
      </c>
      <c r="H625" s="33">
        <f t="shared" si="61"/>
        <v>12444</v>
      </c>
    </row>
    <row r="626" spans="1:8" ht="22.5" x14ac:dyDescent="0.25">
      <c r="A626" s="23" t="s">
        <v>900</v>
      </c>
      <c r="B626" s="24" t="s">
        <v>901</v>
      </c>
      <c r="C626" s="25" t="s">
        <v>902</v>
      </c>
      <c r="D626" s="80" t="s">
        <v>361</v>
      </c>
      <c r="E626" s="42">
        <v>6.67</v>
      </c>
      <c r="F626" s="42">
        <v>0.69167900000000004</v>
      </c>
      <c r="G626" s="32">
        <v>3500000</v>
      </c>
      <c r="H626" s="33">
        <f t="shared" si="61"/>
        <v>2420876.5</v>
      </c>
    </row>
    <row r="627" spans="1:8" ht="33.75" x14ac:dyDescent="0.25">
      <c r="A627" s="23" t="s">
        <v>903</v>
      </c>
      <c r="B627" s="24" t="s">
        <v>904</v>
      </c>
      <c r="C627" s="25" t="s">
        <v>905</v>
      </c>
      <c r="D627" s="80" t="s">
        <v>54</v>
      </c>
      <c r="E627" s="42">
        <v>2.9</v>
      </c>
      <c r="F627" s="42">
        <v>0.30073</v>
      </c>
      <c r="G627" s="35">
        <f>+G89</f>
        <v>2350000</v>
      </c>
      <c r="H627" s="33">
        <f t="shared" si="61"/>
        <v>706715.5</v>
      </c>
    </row>
    <row r="628" spans="1:8" ht="33.75" x14ac:dyDescent="0.25">
      <c r="A628" s="23" t="s">
        <v>906</v>
      </c>
      <c r="B628" s="24" t="s">
        <v>907</v>
      </c>
      <c r="C628" s="25" t="s">
        <v>908</v>
      </c>
      <c r="D628" s="80" t="s">
        <v>54</v>
      </c>
      <c r="E628" s="42">
        <v>0.9</v>
      </c>
      <c r="F628" s="42">
        <v>9.3329999999999996E-2</v>
      </c>
      <c r="G628" s="33">
        <f>+G553</f>
        <v>2350000</v>
      </c>
      <c r="H628" s="33">
        <f t="shared" si="61"/>
        <v>219325.5</v>
      </c>
    </row>
    <row r="629" spans="1:8" ht="33.75" x14ac:dyDescent="0.25">
      <c r="A629" s="23" t="s">
        <v>909</v>
      </c>
      <c r="B629" s="24" t="s">
        <v>910</v>
      </c>
      <c r="C629" s="25" t="s">
        <v>911</v>
      </c>
      <c r="D629" s="80" t="s">
        <v>54</v>
      </c>
      <c r="E629" s="42">
        <v>0.5</v>
      </c>
      <c r="F629" s="42">
        <v>5.185E-2</v>
      </c>
      <c r="G629" s="33">
        <f>+G628</f>
        <v>2350000</v>
      </c>
      <c r="H629" s="33">
        <f t="shared" si="61"/>
        <v>121847.5</v>
      </c>
    </row>
    <row r="630" spans="1:8" ht="21" x14ac:dyDescent="0.25">
      <c r="A630" s="15" t="s">
        <v>68</v>
      </c>
      <c r="B630" s="16" t="s">
        <v>912</v>
      </c>
      <c r="C630" s="16" t="s">
        <v>913</v>
      </c>
      <c r="D630" s="77" t="s">
        <v>60</v>
      </c>
      <c r="E630" s="125">
        <v>0.18</v>
      </c>
      <c r="F630" s="125"/>
      <c r="G630" s="32">
        <v>8550300</v>
      </c>
      <c r="H630" s="33">
        <f>+G630*E630</f>
        <v>1539054</v>
      </c>
    </row>
    <row r="631" spans="1:8" ht="31.5" x14ac:dyDescent="0.25">
      <c r="A631" s="15" t="s">
        <v>80</v>
      </c>
      <c r="B631" s="16" t="s">
        <v>914</v>
      </c>
      <c r="C631" s="16" t="s">
        <v>915</v>
      </c>
      <c r="D631" s="77" t="s">
        <v>60</v>
      </c>
      <c r="E631" s="125">
        <v>0.88600000000000001</v>
      </c>
      <c r="F631" s="125"/>
      <c r="G631" s="35">
        <f>+G630</f>
        <v>8550300</v>
      </c>
      <c r="H631" s="33">
        <f>+G631*E631</f>
        <v>7575565.7999999998</v>
      </c>
    </row>
    <row r="632" spans="1:8" ht="42" x14ac:dyDescent="0.25">
      <c r="A632" s="15" t="s">
        <v>99</v>
      </c>
      <c r="B632" s="16" t="s">
        <v>916</v>
      </c>
      <c r="C632" s="16" t="s">
        <v>917</v>
      </c>
      <c r="D632" s="77" t="s">
        <v>918</v>
      </c>
      <c r="E632" s="125">
        <v>14</v>
      </c>
      <c r="F632" s="125"/>
      <c r="G632" s="33"/>
      <c r="H632" s="33"/>
    </row>
    <row r="633" spans="1:8" x14ac:dyDescent="0.25">
      <c r="A633" s="17" t="s">
        <v>101</v>
      </c>
      <c r="B633" s="18" t="s">
        <v>8</v>
      </c>
      <c r="C633" s="19" t="s">
        <v>35</v>
      </c>
      <c r="D633" s="78" t="s">
        <v>858</v>
      </c>
      <c r="E633" s="40">
        <v>4.6900000000000004</v>
      </c>
      <c r="F633" s="40">
        <v>65.66</v>
      </c>
      <c r="G633" s="33">
        <f>+G612</f>
        <v>26500</v>
      </c>
      <c r="H633" s="33">
        <f t="shared" ref="H633:H644" si="62">G633*F633</f>
        <v>1739990</v>
      </c>
    </row>
    <row r="634" spans="1:8" x14ac:dyDescent="0.25">
      <c r="A634" s="17" t="s">
        <v>103</v>
      </c>
      <c r="B634" s="18" t="s">
        <v>30</v>
      </c>
      <c r="C634" s="19" t="s">
        <v>15</v>
      </c>
      <c r="D634" s="78" t="s">
        <v>858</v>
      </c>
      <c r="E634" s="40">
        <v>2.54</v>
      </c>
      <c r="F634" s="40">
        <v>35.56</v>
      </c>
      <c r="G634" s="33">
        <f>+G613</f>
        <v>0</v>
      </c>
      <c r="H634" s="33">
        <f t="shared" si="62"/>
        <v>0</v>
      </c>
    </row>
    <row r="635" spans="1:8" ht="22.5" x14ac:dyDescent="0.25">
      <c r="A635" s="20" t="s">
        <v>813</v>
      </c>
      <c r="B635" s="21" t="s">
        <v>919</v>
      </c>
      <c r="C635" s="22" t="s">
        <v>920</v>
      </c>
      <c r="D635" s="79" t="s">
        <v>861</v>
      </c>
      <c r="E635" s="41">
        <v>1.97</v>
      </c>
      <c r="F635" s="41">
        <v>27.58</v>
      </c>
      <c r="G635" s="32">
        <v>25300</v>
      </c>
      <c r="H635" s="33">
        <f t="shared" si="62"/>
        <v>697774</v>
      </c>
    </row>
    <row r="636" spans="1:8" x14ac:dyDescent="0.25">
      <c r="A636" s="20" t="s">
        <v>921</v>
      </c>
      <c r="B636" s="21" t="s">
        <v>922</v>
      </c>
      <c r="C636" s="22" t="s">
        <v>923</v>
      </c>
      <c r="D636" s="79" t="s">
        <v>861</v>
      </c>
      <c r="E636" s="41">
        <v>1.97</v>
      </c>
      <c r="F636" s="41">
        <v>27.58</v>
      </c>
      <c r="G636" s="32">
        <v>35600</v>
      </c>
      <c r="H636" s="33">
        <f t="shared" si="62"/>
        <v>981847.99999999988</v>
      </c>
    </row>
    <row r="637" spans="1:8" ht="33.75" x14ac:dyDescent="0.25">
      <c r="A637" s="20" t="s">
        <v>924</v>
      </c>
      <c r="B637" s="21" t="s">
        <v>925</v>
      </c>
      <c r="C637" s="22" t="s">
        <v>319</v>
      </c>
      <c r="D637" s="79" t="s">
        <v>861</v>
      </c>
      <c r="E637" s="41">
        <v>0.03</v>
      </c>
      <c r="F637" s="41">
        <v>0.42</v>
      </c>
      <c r="G637" s="33">
        <f>+G535</f>
        <v>113021</v>
      </c>
      <c r="H637" s="33">
        <f t="shared" si="62"/>
        <v>47468.82</v>
      </c>
    </row>
    <row r="638" spans="1:8" ht="33.75" x14ac:dyDescent="0.25">
      <c r="A638" s="20" t="s">
        <v>926</v>
      </c>
      <c r="B638" s="21" t="s">
        <v>927</v>
      </c>
      <c r="C638" s="22" t="s">
        <v>928</v>
      </c>
      <c r="D638" s="79" t="s">
        <v>861</v>
      </c>
      <c r="E638" s="41">
        <v>0.49</v>
      </c>
      <c r="F638" s="41">
        <v>6.86</v>
      </c>
      <c r="G638" s="35">
        <f>+G69</f>
        <v>113021</v>
      </c>
      <c r="H638" s="33">
        <f t="shared" si="62"/>
        <v>775324.06</v>
      </c>
    </row>
    <row r="639" spans="1:8" x14ac:dyDescent="0.25">
      <c r="A639" s="20" t="s">
        <v>929</v>
      </c>
      <c r="B639" s="21" t="s">
        <v>930</v>
      </c>
      <c r="C639" s="22" t="s">
        <v>931</v>
      </c>
      <c r="D639" s="79" t="s">
        <v>861</v>
      </c>
      <c r="E639" s="41">
        <v>0.05</v>
      </c>
      <c r="F639" s="41">
        <v>0.7</v>
      </c>
      <c r="G639" s="32">
        <v>0</v>
      </c>
      <c r="H639" s="33">
        <f t="shared" si="62"/>
        <v>0</v>
      </c>
    </row>
    <row r="640" spans="1:8" x14ac:dyDescent="0.25">
      <c r="A640" s="20" t="s">
        <v>932</v>
      </c>
      <c r="B640" s="21" t="s">
        <v>933</v>
      </c>
      <c r="C640" s="22" t="s">
        <v>934</v>
      </c>
      <c r="D640" s="79" t="s">
        <v>861</v>
      </c>
      <c r="E640" s="41">
        <v>0.05</v>
      </c>
      <c r="F640" s="41">
        <v>0.7</v>
      </c>
      <c r="G640" s="32">
        <v>0</v>
      </c>
      <c r="H640" s="33">
        <f t="shared" si="62"/>
        <v>0</v>
      </c>
    </row>
    <row r="641" spans="1:8" x14ac:dyDescent="0.25">
      <c r="A641" s="23" t="s">
        <v>935</v>
      </c>
      <c r="B641" s="24" t="s">
        <v>890</v>
      </c>
      <c r="C641" s="25" t="s">
        <v>250</v>
      </c>
      <c r="D641" s="80" t="s">
        <v>60</v>
      </c>
      <c r="E641" s="42">
        <v>8.0000000000000007E-5</v>
      </c>
      <c r="F641" s="42">
        <v>1.1199999999999999E-3</v>
      </c>
      <c r="G641" s="33">
        <f>+G622</f>
        <v>11500000</v>
      </c>
      <c r="H641" s="33">
        <f t="shared" si="62"/>
        <v>12879.999999999998</v>
      </c>
    </row>
    <row r="642" spans="1:8" ht="22.5" x14ac:dyDescent="0.25">
      <c r="A642" s="23" t="s">
        <v>936</v>
      </c>
      <c r="B642" s="24" t="s">
        <v>937</v>
      </c>
      <c r="C642" s="25" t="s">
        <v>938</v>
      </c>
      <c r="D642" s="80" t="s">
        <v>60</v>
      </c>
      <c r="E642" s="42">
        <v>2.0000000000000002E-5</v>
      </c>
      <c r="F642" s="42">
        <v>2.7999999999999998E-4</v>
      </c>
      <c r="G642" s="32">
        <v>22500000</v>
      </c>
      <c r="H642" s="33">
        <f t="shared" si="62"/>
        <v>6299.9999999999991</v>
      </c>
    </row>
    <row r="643" spans="1:8" x14ac:dyDescent="0.25">
      <c r="A643" s="23" t="s">
        <v>939</v>
      </c>
      <c r="B643" s="24" t="s">
        <v>940</v>
      </c>
      <c r="C643" s="25" t="s">
        <v>941</v>
      </c>
      <c r="D643" s="80" t="s">
        <v>54</v>
      </c>
      <c r="E643" s="42">
        <v>6.0000000000000001E-3</v>
      </c>
      <c r="F643" s="42">
        <v>8.4000000000000005E-2</v>
      </c>
      <c r="G643" s="35">
        <f>+G89</f>
        <v>2350000</v>
      </c>
      <c r="H643" s="33">
        <f t="shared" si="62"/>
        <v>197400</v>
      </c>
    </row>
    <row r="644" spans="1:8" ht="67.5" x14ac:dyDescent="0.25">
      <c r="A644" s="23" t="s">
        <v>942</v>
      </c>
      <c r="B644" s="24" t="s">
        <v>943</v>
      </c>
      <c r="C644" s="25" t="s">
        <v>944</v>
      </c>
      <c r="D644" s="80" t="s">
        <v>60</v>
      </c>
      <c r="E644" s="42">
        <v>8.0000000000000007E-5</v>
      </c>
      <c r="F644" s="42">
        <v>1.1199999999999999E-3</v>
      </c>
      <c r="G644" s="32">
        <v>15000000</v>
      </c>
      <c r="H644" s="33">
        <f t="shared" si="62"/>
        <v>16800</v>
      </c>
    </row>
    <row r="645" spans="1:8" ht="31.5" x14ac:dyDescent="0.25">
      <c r="A645" s="15" t="s">
        <v>104</v>
      </c>
      <c r="B645" s="16" t="s">
        <v>945</v>
      </c>
      <c r="C645" s="16" t="s">
        <v>946</v>
      </c>
      <c r="D645" s="77" t="s">
        <v>164</v>
      </c>
      <c r="E645" s="125">
        <v>14</v>
      </c>
      <c r="F645" s="125"/>
      <c r="G645" s="32">
        <v>3751958</v>
      </c>
      <c r="H645" s="33">
        <f>+G645*E645</f>
        <v>52527412</v>
      </c>
    </row>
    <row r="646" spans="1:8" ht="31.5" x14ac:dyDescent="0.25">
      <c r="A646" s="15" t="s">
        <v>112</v>
      </c>
      <c r="B646" s="16" t="s">
        <v>947</v>
      </c>
      <c r="C646" s="16" t="s">
        <v>948</v>
      </c>
      <c r="D646" s="77" t="s">
        <v>164</v>
      </c>
      <c r="E646" s="125">
        <v>14</v>
      </c>
      <c r="F646" s="125"/>
      <c r="G646" s="33"/>
      <c r="H646" s="33"/>
    </row>
    <row r="647" spans="1:8" x14ac:dyDescent="0.25">
      <c r="A647" s="17" t="s">
        <v>115</v>
      </c>
      <c r="B647" s="18" t="s">
        <v>8</v>
      </c>
      <c r="C647" s="19" t="s">
        <v>35</v>
      </c>
      <c r="D647" s="78" t="s">
        <v>858</v>
      </c>
      <c r="E647" s="40">
        <v>1.65</v>
      </c>
      <c r="F647" s="40">
        <v>23.1</v>
      </c>
      <c r="G647" s="33">
        <f>+G633</f>
        <v>26500</v>
      </c>
      <c r="H647" s="33">
        <f t="shared" ref="H647:H653" si="63">G647*F647</f>
        <v>612150</v>
      </c>
    </row>
    <row r="648" spans="1:8" x14ac:dyDescent="0.25">
      <c r="A648" s="17" t="s">
        <v>118</v>
      </c>
      <c r="B648" s="18" t="s">
        <v>30</v>
      </c>
      <c r="C648" s="19" t="s">
        <v>15</v>
      </c>
      <c r="D648" s="78" t="s">
        <v>858</v>
      </c>
      <c r="E648" s="40">
        <v>0.75</v>
      </c>
      <c r="F648" s="40">
        <v>10.5</v>
      </c>
      <c r="G648" s="33">
        <f>+G634</f>
        <v>0</v>
      </c>
      <c r="H648" s="33">
        <f t="shared" si="63"/>
        <v>0</v>
      </c>
    </row>
    <row r="649" spans="1:8" ht="33.75" x14ac:dyDescent="0.25">
      <c r="A649" s="20" t="s">
        <v>119</v>
      </c>
      <c r="B649" s="21" t="s">
        <v>873</v>
      </c>
      <c r="C649" s="22" t="s">
        <v>309</v>
      </c>
      <c r="D649" s="79" t="s">
        <v>861</v>
      </c>
      <c r="E649" s="41">
        <v>0.75</v>
      </c>
      <c r="F649" s="41">
        <v>10.5</v>
      </c>
      <c r="G649" s="33">
        <f>+G615</f>
        <v>25300</v>
      </c>
      <c r="H649" s="33">
        <f t="shared" si="63"/>
        <v>265650</v>
      </c>
    </row>
    <row r="650" spans="1:8" x14ac:dyDescent="0.25">
      <c r="A650" s="20" t="s">
        <v>835</v>
      </c>
      <c r="B650" s="21" t="s">
        <v>949</v>
      </c>
      <c r="C650" s="22" t="s">
        <v>324</v>
      </c>
      <c r="D650" s="79" t="s">
        <v>861</v>
      </c>
      <c r="E650" s="41">
        <v>1.5</v>
      </c>
      <c r="F650" s="41">
        <v>21</v>
      </c>
      <c r="G650" s="33">
        <f>+G116</f>
        <v>25000</v>
      </c>
      <c r="H650" s="33">
        <f t="shared" si="63"/>
        <v>525000</v>
      </c>
    </row>
    <row r="651" spans="1:8" x14ac:dyDescent="0.25">
      <c r="A651" s="20" t="s">
        <v>837</v>
      </c>
      <c r="B651" s="21" t="s">
        <v>950</v>
      </c>
      <c r="C651" s="22" t="s">
        <v>951</v>
      </c>
      <c r="D651" s="79" t="s">
        <v>861</v>
      </c>
      <c r="E651" s="41">
        <v>7.0000000000000007E-2</v>
      </c>
      <c r="F651" s="41">
        <v>0.98</v>
      </c>
      <c r="G651" s="32">
        <v>25000</v>
      </c>
      <c r="H651" s="33">
        <f t="shared" si="63"/>
        <v>24500</v>
      </c>
    </row>
    <row r="652" spans="1:8" x14ac:dyDescent="0.25">
      <c r="A652" s="23" t="s">
        <v>839</v>
      </c>
      <c r="B652" s="24" t="s">
        <v>952</v>
      </c>
      <c r="C652" s="25" t="s">
        <v>953</v>
      </c>
      <c r="D652" s="80" t="s">
        <v>54</v>
      </c>
      <c r="E652" s="42">
        <v>6.3E-2</v>
      </c>
      <c r="F652" s="42">
        <v>0.88200000000000001</v>
      </c>
      <c r="G652" s="32">
        <v>500</v>
      </c>
      <c r="H652" s="33">
        <f t="shared" si="63"/>
        <v>441</v>
      </c>
    </row>
    <row r="653" spans="1:8" x14ac:dyDescent="0.25">
      <c r="A653" s="23" t="s">
        <v>841</v>
      </c>
      <c r="B653" s="24" t="s">
        <v>954</v>
      </c>
      <c r="C653" s="25" t="s">
        <v>955</v>
      </c>
      <c r="D653" s="80" t="s">
        <v>54</v>
      </c>
      <c r="E653" s="42">
        <v>0.01</v>
      </c>
      <c r="F653" s="42">
        <v>0.14000000000000001</v>
      </c>
      <c r="G653" s="32">
        <v>650</v>
      </c>
      <c r="H653" s="33">
        <f t="shared" si="63"/>
        <v>91.000000000000014</v>
      </c>
    </row>
    <row r="654" spans="1:8" ht="63" x14ac:dyDescent="0.25">
      <c r="A654" s="15" t="s">
        <v>122</v>
      </c>
      <c r="B654" s="16" t="s">
        <v>956</v>
      </c>
      <c r="C654" s="16" t="s">
        <v>957</v>
      </c>
      <c r="D654" s="77" t="s">
        <v>200</v>
      </c>
      <c r="E654" s="125">
        <v>35</v>
      </c>
      <c r="F654" s="125"/>
      <c r="G654" s="33"/>
      <c r="H654" s="33"/>
    </row>
    <row r="655" spans="1:8" x14ac:dyDescent="0.25">
      <c r="A655" s="17" t="s">
        <v>125</v>
      </c>
      <c r="B655" s="18" t="s">
        <v>8</v>
      </c>
      <c r="C655" s="19" t="s">
        <v>35</v>
      </c>
      <c r="D655" s="78" t="s">
        <v>858</v>
      </c>
      <c r="E655" s="40">
        <v>0.77</v>
      </c>
      <c r="F655" s="40">
        <v>26.95</v>
      </c>
      <c r="G655" s="33">
        <f>+G647</f>
        <v>26500</v>
      </c>
      <c r="H655" s="33">
        <f t="shared" ref="H655:H663" si="64">G655*F655</f>
        <v>714175</v>
      </c>
    </row>
    <row r="656" spans="1:8" x14ac:dyDescent="0.25">
      <c r="A656" s="17" t="s">
        <v>128</v>
      </c>
      <c r="B656" s="18" t="s">
        <v>30</v>
      </c>
      <c r="C656" s="19" t="s">
        <v>15</v>
      </c>
      <c r="D656" s="78" t="s">
        <v>858</v>
      </c>
      <c r="E656" s="40">
        <v>0.91</v>
      </c>
      <c r="F656" s="40">
        <v>31.85</v>
      </c>
      <c r="G656" s="33">
        <f>+G648</f>
        <v>0</v>
      </c>
      <c r="H656" s="33">
        <f t="shared" si="64"/>
        <v>0</v>
      </c>
    </row>
    <row r="657" spans="1:8" x14ac:dyDescent="0.25">
      <c r="A657" s="20" t="s">
        <v>131</v>
      </c>
      <c r="B657" s="21" t="s">
        <v>958</v>
      </c>
      <c r="C657" s="22" t="s">
        <v>959</v>
      </c>
      <c r="D657" s="79" t="s">
        <v>861</v>
      </c>
      <c r="E657" s="41">
        <v>0.44</v>
      </c>
      <c r="F657" s="41">
        <v>15.4</v>
      </c>
      <c r="G657" s="32">
        <v>13500</v>
      </c>
      <c r="H657" s="33">
        <f t="shared" si="64"/>
        <v>207900</v>
      </c>
    </row>
    <row r="658" spans="1:8" ht="33.75" x14ac:dyDescent="0.25">
      <c r="A658" s="20" t="s">
        <v>136</v>
      </c>
      <c r="B658" s="21" t="s">
        <v>960</v>
      </c>
      <c r="C658" s="22" t="s">
        <v>961</v>
      </c>
      <c r="D658" s="79" t="s">
        <v>861</v>
      </c>
      <c r="E658" s="41">
        <v>0.26</v>
      </c>
      <c r="F658" s="41">
        <v>9.1</v>
      </c>
      <c r="G658" s="32">
        <v>25500</v>
      </c>
      <c r="H658" s="33">
        <f t="shared" si="64"/>
        <v>232050</v>
      </c>
    </row>
    <row r="659" spans="1:8" x14ac:dyDescent="0.25">
      <c r="A659" s="20" t="s">
        <v>139</v>
      </c>
      <c r="B659" s="21" t="s">
        <v>962</v>
      </c>
      <c r="C659" s="22" t="s">
        <v>963</v>
      </c>
      <c r="D659" s="79" t="s">
        <v>861</v>
      </c>
      <c r="E659" s="41">
        <v>0.25</v>
      </c>
      <c r="F659" s="41">
        <v>8.75</v>
      </c>
      <c r="G659" s="32">
        <v>35600</v>
      </c>
      <c r="H659" s="33">
        <f t="shared" si="64"/>
        <v>311500</v>
      </c>
    </row>
    <row r="660" spans="1:8" ht="22.5" x14ac:dyDescent="0.25">
      <c r="A660" s="20" t="s">
        <v>851</v>
      </c>
      <c r="B660" s="21" t="s">
        <v>964</v>
      </c>
      <c r="C660" s="22" t="s">
        <v>965</v>
      </c>
      <c r="D660" s="79" t="s">
        <v>861</v>
      </c>
      <c r="E660" s="41">
        <v>0.26</v>
      </c>
      <c r="F660" s="41">
        <v>9.1</v>
      </c>
      <c r="G660" s="35">
        <f>+G659</f>
        <v>35600</v>
      </c>
      <c r="H660" s="33">
        <f t="shared" si="64"/>
        <v>323960</v>
      </c>
    </row>
    <row r="661" spans="1:8" ht="22.5" x14ac:dyDescent="0.25">
      <c r="A661" s="20" t="s">
        <v>852</v>
      </c>
      <c r="B661" s="21" t="s">
        <v>966</v>
      </c>
      <c r="C661" s="22" t="s">
        <v>190</v>
      </c>
      <c r="D661" s="79" t="s">
        <v>861</v>
      </c>
      <c r="E661" s="41">
        <v>0.13</v>
      </c>
      <c r="F661" s="41">
        <v>4.55</v>
      </c>
      <c r="G661" s="33">
        <f>+G619</f>
        <v>35000</v>
      </c>
      <c r="H661" s="33">
        <f t="shared" si="64"/>
        <v>159250</v>
      </c>
    </row>
    <row r="662" spans="1:8" x14ac:dyDescent="0.25">
      <c r="A662" s="23" t="s">
        <v>967</v>
      </c>
      <c r="B662" s="24" t="s">
        <v>888</v>
      </c>
      <c r="C662" s="25" t="s">
        <v>194</v>
      </c>
      <c r="D662" s="80" t="s">
        <v>54</v>
      </c>
      <c r="E662" s="42">
        <v>0.14000000000000001</v>
      </c>
      <c r="F662" s="42">
        <v>4.9000000000000004</v>
      </c>
      <c r="G662" s="33">
        <f>+G621</f>
        <v>0</v>
      </c>
      <c r="H662" s="33">
        <f t="shared" si="64"/>
        <v>0</v>
      </c>
    </row>
    <row r="663" spans="1:8" ht="45" x14ac:dyDescent="0.25">
      <c r="A663" s="23" t="s">
        <v>968</v>
      </c>
      <c r="B663" s="24" t="s">
        <v>969</v>
      </c>
      <c r="C663" s="25" t="s">
        <v>970</v>
      </c>
      <c r="D663" s="80" t="s">
        <v>200</v>
      </c>
      <c r="E663" s="42">
        <v>0.01</v>
      </c>
      <c r="F663" s="42">
        <v>0.35</v>
      </c>
      <c r="G663" s="50">
        <v>450500</v>
      </c>
      <c r="H663" s="33">
        <f t="shared" si="64"/>
        <v>157675</v>
      </c>
    </row>
    <row r="664" spans="1:8" x14ac:dyDescent="0.25">
      <c r="A664" s="15" t="s">
        <v>142</v>
      </c>
      <c r="B664" s="16" t="s">
        <v>971</v>
      </c>
      <c r="C664" s="16" t="s">
        <v>972</v>
      </c>
      <c r="D664" s="77" t="s">
        <v>164</v>
      </c>
      <c r="E664" s="125">
        <v>0.23799999999999999</v>
      </c>
      <c r="F664" s="125"/>
      <c r="G664" s="32">
        <v>3500000</v>
      </c>
      <c r="H664" s="33">
        <f>+G664*E664</f>
        <v>833000</v>
      </c>
    </row>
    <row r="665" spans="1:8" x14ac:dyDescent="0.25">
      <c r="A665" s="15" t="s">
        <v>161</v>
      </c>
      <c r="B665" s="16" t="s">
        <v>973</v>
      </c>
      <c r="C665" s="16" t="s">
        <v>974</v>
      </c>
      <c r="D665" s="77" t="s">
        <v>60</v>
      </c>
      <c r="E665" s="125">
        <v>0.83299999999999996</v>
      </c>
      <c r="F665" s="125"/>
      <c r="G665" s="33"/>
      <c r="H665" s="33"/>
    </row>
    <row r="666" spans="1:8" x14ac:dyDescent="0.25">
      <c r="A666" s="26"/>
      <c r="B666" s="26"/>
      <c r="C666" s="26"/>
      <c r="D666" s="127" t="s">
        <v>975</v>
      </c>
      <c r="E666" s="127"/>
      <c r="F666" s="127"/>
      <c r="G666" s="33"/>
      <c r="H666" s="33">
        <f>G666*F666</f>
        <v>0</v>
      </c>
    </row>
    <row r="667" spans="1:8" ht="42" x14ac:dyDescent="0.25">
      <c r="A667" s="15" t="s">
        <v>172</v>
      </c>
      <c r="B667" s="16" t="s">
        <v>867</v>
      </c>
      <c r="C667" s="16" t="s">
        <v>868</v>
      </c>
      <c r="D667" s="77" t="s">
        <v>107</v>
      </c>
      <c r="E667" s="125">
        <v>0.21249999999999999</v>
      </c>
      <c r="F667" s="125"/>
      <c r="G667" s="33"/>
      <c r="H667" s="33"/>
    </row>
    <row r="668" spans="1:8" x14ac:dyDescent="0.25">
      <c r="A668" s="17" t="s">
        <v>177</v>
      </c>
      <c r="B668" s="18" t="s">
        <v>8</v>
      </c>
      <c r="C668" s="19" t="s">
        <v>35</v>
      </c>
      <c r="D668" s="78" t="s">
        <v>858</v>
      </c>
      <c r="E668" s="40">
        <v>536.79999999999995</v>
      </c>
      <c r="F668" s="40">
        <v>114.07</v>
      </c>
      <c r="G668" s="33">
        <f>+G655</f>
        <v>26500</v>
      </c>
      <c r="H668" s="33">
        <f t="shared" ref="H668:H685" si="65">G668*F668</f>
        <v>3022855</v>
      </c>
    </row>
    <row r="669" spans="1:8" x14ac:dyDescent="0.25">
      <c r="A669" s="17" t="s">
        <v>180</v>
      </c>
      <c r="B669" s="18" t="s">
        <v>30</v>
      </c>
      <c r="C669" s="19" t="s">
        <v>15</v>
      </c>
      <c r="D669" s="78" t="s">
        <v>858</v>
      </c>
      <c r="E669" s="40">
        <v>75.03</v>
      </c>
      <c r="F669" s="40">
        <v>15.943899999999999</v>
      </c>
      <c r="G669" s="33">
        <f>+G656</f>
        <v>0</v>
      </c>
      <c r="H669" s="33">
        <f t="shared" si="65"/>
        <v>0</v>
      </c>
    </row>
    <row r="670" spans="1:8" x14ac:dyDescent="0.25">
      <c r="A670" s="20" t="s">
        <v>183</v>
      </c>
      <c r="B670" s="21" t="s">
        <v>870</v>
      </c>
      <c r="C670" s="22" t="s">
        <v>871</v>
      </c>
      <c r="D670" s="79" t="s">
        <v>861</v>
      </c>
      <c r="E670" s="41">
        <v>89.9</v>
      </c>
      <c r="F670" s="41">
        <v>19.1038</v>
      </c>
      <c r="G670" s="33">
        <f>+G614</f>
        <v>500</v>
      </c>
      <c r="H670" s="33">
        <f t="shared" si="65"/>
        <v>9551.9</v>
      </c>
    </row>
    <row r="671" spans="1:8" ht="33.75" x14ac:dyDescent="0.25">
      <c r="A671" s="20" t="s">
        <v>188</v>
      </c>
      <c r="B671" s="21" t="s">
        <v>873</v>
      </c>
      <c r="C671" s="22" t="s">
        <v>309</v>
      </c>
      <c r="D671" s="79" t="s">
        <v>861</v>
      </c>
      <c r="E671" s="41">
        <v>7.77</v>
      </c>
      <c r="F671" s="41">
        <v>1.6511</v>
      </c>
      <c r="G671" s="33">
        <f>+G649</f>
        <v>25300</v>
      </c>
      <c r="H671" s="33">
        <f t="shared" si="65"/>
        <v>41772.83</v>
      </c>
    </row>
    <row r="672" spans="1:8" ht="33.75" x14ac:dyDescent="0.25">
      <c r="A672" s="20" t="s">
        <v>192</v>
      </c>
      <c r="B672" s="21" t="s">
        <v>875</v>
      </c>
      <c r="C672" s="22" t="s">
        <v>314</v>
      </c>
      <c r="D672" s="79" t="s">
        <v>861</v>
      </c>
      <c r="E672" s="41">
        <v>67.25</v>
      </c>
      <c r="F672" s="41">
        <v>14.2906</v>
      </c>
      <c r="G672" s="33">
        <f>+G616</f>
        <v>113021</v>
      </c>
      <c r="H672" s="33">
        <f t="shared" si="65"/>
        <v>1615137.9025999999</v>
      </c>
    </row>
    <row r="673" spans="1:8" ht="33.75" x14ac:dyDescent="0.25">
      <c r="A673" s="20" t="s">
        <v>976</v>
      </c>
      <c r="B673" s="21" t="s">
        <v>877</v>
      </c>
      <c r="C673" s="22" t="s">
        <v>878</v>
      </c>
      <c r="D673" s="79" t="s">
        <v>861</v>
      </c>
      <c r="E673" s="41">
        <v>1.44</v>
      </c>
      <c r="F673" s="41">
        <v>0.30599999999999999</v>
      </c>
      <c r="G673" s="33">
        <f>+G617</f>
        <v>22300</v>
      </c>
      <c r="H673" s="33">
        <f t="shared" si="65"/>
        <v>6823.8</v>
      </c>
    </row>
    <row r="674" spans="1:8" x14ac:dyDescent="0.25">
      <c r="A674" s="20" t="s">
        <v>977</v>
      </c>
      <c r="B674" s="21" t="s">
        <v>880</v>
      </c>
      <c r="C674" s="22" t="s">
        <v>881</v>
      </c>
      <c r="D674" s="79" t="s">
        <v>861</v>
      </c>
      <c r="E674" s="41">
        <v>1.73</v>
      </c>
      <c r="F674" s="41">
        <v>0.36762499999999998</v>
      </c>
      <c r="G674" s="33">
        <f>+G618</f>
        <v>0</v>
      </c>
      <c r="H674" s="33">
        <f t="shared" si="65"/>
        <v>0</v>
      </c>
    </row>
    <row r="675" spans="1:8" ht="22.5" x14ac:dyDescent="0.25">
      <c r="A675" s="20" t="s">
        <v>978</v>
      </c>
      <c r="B675" s="21" t="s">
        <v>883</v>
      </c>
      <c r="C675" s="22" t="s">
        <v>190</v>
      </c>
      <c r="D675" s="79" t="s">
        <v>861</v>
      </c>
      <c r="E675" s="41">
        <v>0.01</v>
      </c>
      <c r="F675" s="41">
        <v>2.1250000000000002E-3</v>
      </c>
      <c r="G675" s="33">
        <f>+G661</f>
        <v>35000</v>
      </c>
      <c r="H675" s="33">
        <f t="shared" si="65"/>
        <v>74.375</v>
      </c>
    </row>
    <row r="676" spans="1:8" ht="22.5" x14ac:dyDescent="0.25">
      <c r="A676" s="23" t="s">
        <v>979</v>
      </c>
      <c r="B676" s="24" t="s">
        <v>885</v>
      </c>
      <c r="C676" s="25" t="s">
        <v>886</v>
      </c>
      <c r="D676" s="80" t="s">
        <v>54</v>
      </c>
      <c r="E676" s="42">
        <v>104</v>
      </c>
      <c r="F676" s="42">
        <v>22.1</v>
      </c>
      <c r="G676" s="33">
        <f>+G620</f>
        <v>466043</v>
      </c>
      <c r="H676" s="33">
        <f t="shared" si="65"/>
        <v>10299550.300000001</v>
      </c>
    </row>
    <row r="677" spans="1:8" x14ac:dyDescent="0.25">
      <c r="A677" s="23" t="s">
        <v>980</v>
      </c>
      <c r="B677" s="24" t="s">
        <v>888</v>
      </c>
      <c r="C677" s="25" t="s">
        <v>194</v>
      </c>
      <c r="D677" s="80" t="s">
        <v>54</v>
      </c>
      <c r="E677" s="42">
        <v>12.2</v>
      </c>
      <c r="F677" s="42">
        <v>2.5924999999999998</v>
      </c>
      <c r="G677" s="33">
        <f>+G662</f>
        <v>0</v>
      </c>
      <c r="H677" s="33">
        <f t="shared" si="65"/>
        <v>0</v>
      </c>
    </row>
    <row r="678" spans="1:8" x14ac:dyDescent="0.25">
      <c r="A678" s="23" t="s">
        <v>981</v>
      </c>
      <c r="B678" s="24" t="s">
        <v>890</v>
      </c>
      <c r="C678" s="25" t="s">
        <v>250</v>
      </c>
      <c r="D678" s="80" t="s">
        <v>60</v>
      </c>
      <c r="E678" s="42">
        <v>3.0000000000000001E-3</v>
      </c>
      <c r="F678" s="42">
        <v>6.38E-4</v>
      </c>
      <c r="G678" s="33">
        <f>+G641</f>
        <v>11500000</v>
      </c>
      <c r="H678" s="33">
        <f t="shared" si="65"/>
        <v>7337</v>
      </c>
    </row>
    <row r="679" spans="1:8" ht="22.5" x14ac:dyDescent="0.25">
      <c r="A679" s="23" t="s">
        <v>982</v>
      </c>
      <c r="B679" s="24" t="s">
        <v>892</v>
      </c>
      <c r="C679" s="25" t="s">
        <v>893</v>
      </c>
      <c r="D679" s="80" t="s">
        <v>60</v>
      </c>
      <c r="E679" s="42">
        <v>5.45E-2</v>
      </c>
      <c r="F679" s="42">
        <v>1.1580999999999999E-2</v>
      </c>
      <c r="G679" s="33">
        <f>+G623</f>
        <v>12500000</v>
      </c>
      <c r="H679" s="33">
        <f t="shared" si="65"/>
        <v>144762.5</v>
      </c>
    </row>
    <row r="680" spans="1:8" x14ac:dyDescent="0.25">
      <c r="A680" s="23" t="s">
        <v>983</v>
      </c>
      <c r="B680" s="24" t="s">
        <v>895</v>
      </c>
      <c r="C680" s="25" t="s">
        <v>896</v>
      </c>
      <c r="D680" s="80" t="s">
        <v>367</v>
      </c>
      <c r="E680" s="42">
        <v>83</v>
      </c>
      <c r="F680" s="42">
        <v>17.637499999999999</v>
      </c>
      <c r="G680" s="33">
        <f>+G624</f>
        <v>2500</v>
      </c>
      <c r="H680" s="33">
        <f t="shared" si="65"/>
        <v>44093.75</v>
      </c>
    </row>
    <row r="681" spans="1:8" ht="22.5" x14ac:dyDescent="0.25">
      <c r="A681" s="23" t="s">
        <v>984</v>
      </c>
      <c r="B681" s="24" t="s">
        <v>898</v>
      </c>
      <c r="C681" s="25" t="s">
        <v>899</v>
      </c>
      <c r="D681" s="80" t="s">
        <v>60</v>
      </c>
      <c r="E681" s="42">
        <v>0.2</v>
      </c>
      <c r="F681" s="42">
        <v>4.2500000000000003E-2</v>
      </c>
      <c r="G681" s="33">
        <f>+G625</f>
        <v>600000</v>
      </c>
      <c r="H681" s="33">
        <f t="shared" si="65"/>
        <v>25500.000000000004</v>
      </c>
    </row>
    <row r="682" spans="1:8" ht="22.5" x14ac:dyDescent="0.25">
      <c r="A682" s="23" t="s">
        <v>985</v>
      </c>
      <c r="B682" s="24" t="s">
        <v>901</v>
      </c>
      <c r="C682" s="25" t="s">
        <v>902</v>
      </c>
      <c r="D682" s="80" t="s">
        <v>361</v>
      </c>
      <c r="E682" s="42">
        <v>6.67</v>
      </c>
      <c r="F682" s="42">
        <v>1.4174</v>
      </c>
      <c r="G682" s="33">
        <f>+G626</f>
        <v>3500000</v>
      </c>
      <c r="H682" s="33">
        <f t="shared" si="65"/>
        <v>4960900</v>
      </c>
    </row>
    <row r="683" spans="1:8" ht="33.75" x14ac:dyDescent="0.25">
      <c r="A683" s="23" t="s">
        <v>986</v>
      </c>
      <c r="B683" s="24" t="s">
        <v>904</v>
      </c>
      <c r="C683" s="25" t="s">
        <v>905</v>
      </c>
      <c r="D683" s="80" t="s">
        <v>54</v>
      </c>
      <c r="E683" s="42">
        <v>2.9</v>
      </c>
      <c r="F683" s="42">
        <v>0.61624999999999996</v>
      </c>
      <c r="G683" s="33">
        <f>+G627</f>
        <v>2350000</v>
      </c>
      <c r="H683" s="33">
        <f t="shared" si="65"/>
        <v>1448187.5</v>
      </c>
    </row>
    <row r="684" spans="1:8" ht="33.75" x14ac:dyDescent="0.25">
      <c r="A684" s="23" t="s">
        <v>987</v>
      </c>
      <c r="B684" s="24" t="s">
        <v>907</v>
      </c>
      <c r="C684" s="25" t="s">
        <v>908</v>
      </c>
      <c r="D684" s="80" t="s">
        <v>54</v>
      </c>
      <c r="E684" s="42">
        <v>0.9</v>
      </c>
      <c r="F684" s="42">
        <v>0.19125</v>
      </c>
      <c r="G684" s="33">
        <f>+G629</f>
        <v>2350000</v>
      </c>
      <c r="H684" s="33">
        <f t="shared" si="65"/>
        <v>449437.5</v>
      </c>
    </row>
    <row r="685" spans="1:8" ht="33.75" x14ac:dyDescent="0.25">
      <c r="A685" s="23" t="s">
        <v>988</v>
      </c>
      <c r="B685" s="24" t="s">
        <v>910</v>
      </c>
      <c r="C685" s="25" t="s">
        <v>911</v>
      </c>
      <c r="D685" s="80" t="s">
        <v>54</v>
      </c>
      <c r="E685" s="42">
        <v>0.5</v>
      </c>
      <c r="F685" s="42">
        <v>0.10625</v>
      </c>
      <c r="G685" s="33">
        <f>+G684</f>
        <v>2350000</v>
      </c>
      <c r="H685" s="33">
        <f t="shared" si="65"/>
        <v>249687.5</v>
      </c>
    </row>
    <row r="686" spans="1:8" ht="21" x14ac:dyDescent="0.25">
      <c r="A686" s="15" t="s">
        <v>197</v>
      </c>
      <c r="B686" s="16" t="s">
        <v>912</v>
      </c>
      <c r="C686" s="16" t="s">
        <v>913</v>
      </c>
      <c r="D686" s="77" t="s">
        <v>60</v>
      </c>
      <c r="E686" s="125">
        <v>0.91700000000000004</v>
      </c>
      <c r="F686" s="125"/>
      <c r="G686" s="33">
        <f>+G630</f>
        <v>8550300</v>
      </c>
      <c r="H686" s="33">
        <f>+G686*E686</f>
        <v>7840625.1000000006</v>
      </c>
    </row>
    <row r="687" spans="1:8" ht="31.5" x14ac:dyDescent="0.25">
      <c r="A687" s="15" t="s">
        <v>202</v>
      </c>
      <c r="B687" s="16" t="s">
        <v>914</v>
      </c>
      <c r="C687" s="16" t="s">
        <v>915</v>
      </c>
      <c r="D687" s="77" t="s">
        <v>60</v>
      </c>
      <c r="E687" s="125">
        <v>1.603</v>
      </c>
      <c r="F687" s="125"/>
      <c r="G687" s="33">
        <f>+G686</f>
        <v>8550300</v>
      </c>
      <c r="H687" s="33">
        <f>+G687*E687</f>
        <v>13706130.9</v>
      </c>
    </row>
    <row r="688" spans="1:8" ht="42" x14ac:dyDescent="0.25">
      <c r="A688" s="15" t="s">
        <v>221</v>
      </c>
      <c r="B688" s="16" t="s">
        <v>989</v>
      </c>
      <c r="C688" s="16" t="s">
        <v>990</v>
      </c>
      <c r="D688" s="77" t="s">
        <v>918</v>
      </c>
      <c r="E688" s="125">
        <v>48.72</v>
      </c>
      <c r="F688" s="125"/>
      <c r="G688" s="33"/>
      <c r="H688" s="33"/>
    </row>
    <row r="689" spans="1:8" x14ac:dyDescent="0.25">
      <c r="A689" s="17" t="s">
        <v>743</v>
      </c>
      <c r="B689" s="18" t="s">
        <v>8</v>
      </c>
      <c r="C689" s="19" t="s">
        <v>35</v>
      </c>
      <c r="D689" s="78" t="s">
        <v>858</v>
      </c>
      <c r="E689" s="40">
        <v>3.35</v>
      </c>
      <c r="F689" s="40">
        <v>163.21199999999999</v>
      </c>
      <c r="G689" s="33">
        <f>+G668</f>
        <v>26500</v>
      </c>
      <c r="H689" s="33">
        <f t="shared" ref="H689:H700" si="66">G689*F689</f>
        <v>4325118</v>
      </c>
    </row>
    <row r="690" spans="1:8" x14ac:dyDescent="0.25">
      <c r="A690" s="17" t="s">
        <v>745</v>
      </c>
      <c r="B690" s="18" t="s">
        <v>30</v>
      </c>
      <c r="C690" s="19" t="s">
        <v>15</v>
      </c>
      <c r="D690" s="78" t="s">
        <v>858</v>
      </c>
      <c r="E690" s="40">
        <v>1.65</v>
      </c>
      <c r="F690" s="40">
        <v>80.388000000000005</v>
      </c>
      <c r="G690" s="33">
        <f>+G669</f>
        <v>0</v>
      </c>
      <c r="H690" s="33">
        <f t="shared" si="66"/>
        <v>0</v>
      </c>
    </row>
    <row r="691" spans="1:8" ht="22.5" x14ac:dyDescent="0.25">
      <c r="A691" s="20" t="s">
        <v>747</v>
      </c>
      <c r="B691" s="21" t="s">
        <v>991</v>
      </c>
      <c r="C691" s="22" t="s">
        <v>992</v>
      </c>
      <c r="D691" s="79" t="s">
        <v>861</v>
      </c>
      <c r="E691" s="41">
        <v>1.4</v>
      </c>
      <c r="F691" s="41">
        <v>68.207999999999998</v>
      </c>
      <c r="G691" s="33">
        <f>+G635</f>
        <v>25300</v>
      </c>
      <c r="H691" s="33">
        <f t="shared" si="66"/>
        <v>1725662.4</v>
      </c>
    </row>
    <row r="692" spans="1:8" x14ac:dyDescent="0.25">
      <c r="A692" s="20" t="s">
        <v>749</v>
      </c>
      <c r="B692" s="21" t="s">
        <v>993</v>
      </c>
      <c r="C692" s="22" t="s">
        <v>994</v>
      </c>
      <c r="D692" s="79" t="s">
        <v>861</v>
      </c>
      <c r="E692" s="41">
        <v>1.4</v>
      </c>
      <c r="F692" s="41">
        <v>68.207999999999998</v>
      </c>
      <c r="G692" s="32">
        <v>35000</v>
      </c>
      <c r="H692" s="33">
        <f t="shared" si="66"/>
        <v>2387280</v>
      </c>
    </row>
    <row r="693" spans="1:8" ht="33.75" x14ac:dyDescent="0.25">
      <c r="A693" s="20" t="s">
        <v>751</v>
      </c>
      <c r="B693" s="21" t="s">
        <v>925</v>
      </c>
      <c r="C693" s="22" t="s">
        <v>319</v>
      </c>
      <c r="D693" s="79" t="s">
        <v>861</v>
      </c>
      <c r="E693" s="41">
        <v>0.02</v>
      </c>
      <c r="F693" s="41">
        <v>0.97440000000000004</v>
      </c>
      <c r="G693" s="33">
        <f>+G637</f>
        <v>113021</v>
      </c>
      <c r="H693" s="33">
        <f t="shared" si="66"/>
        <v>110127.6624</v>
      </c>
    </row>
    <row r="694" spans="1:8" ht="33.75" x14ac:dyDescent="0.25">
      <c r="A694" s="20" t="s">
        <v>995</v>
      </c>
      <c r="B694" s="21" t="s">
        <v>996</v>
      </c>
      <c r="C694" s="22" t="s">
        <v>997</v>
      </c>
      <c r="D694" s="79" t="s">
        <v>861</v>
      </c>
      <c r="E694" s="41">
        <v>0.2</v>
      </c>
      <c r="F694" s="41">
        <v>9.7439999999999998</v>
      </c>
      <c r="G694" s="35">
        <f>+G638</f>
        <v>113021</v>
      </c>
      <c r="H694" s="33">
        <f t="shared" si="66"/>
        <v>1101276.6240000001</v>
      </c>
    </row>
    <row r="695" spans="1:8" x14ac:dyDescent="0.25">
      <c r="A695" s="20" t="s">
        <v>998</v>
      </c>
      <c r="B695" s="21" t="s">
        <v>930</v>
      </c>
      <c r="C695" s="22" t="s">
        <v>931</v>
      </c>
      <c r="D695" s="79" t="s">
        <v>861</v>
      </c>
      <c r="E695" s="41">
        <v>0.03</v>
      </c>
      <c r="F695" s="41">
        <v>1.4616</v>
      </c>
      <c r="G695" s="33">
        <f>+G639</f>
        <v>0</v>
      </c>
      <c r="H695" s="33">
        <f t="shared" si="66"/>
        <v>0</v>
      </c>
    </row>
    <row r="696" spans="1:8" x14ac:dyDescent="0.25">
      <c r="A696" s="20" t="s">
        <v>999</v>
      </c>
      <c r="B696" s="21" t="s">
        <v>933</v>
      </c>
      <c r="C696" s="22" t="s">
        <v>934</v>
      </c>
      <c r="D696" s="79" t="s">
        <v>861</v>
      </c>
      <c r="E696" s="41">
        <v>0.03</v>
      </c>
      <c r="F696" s="41">
        <v>1.4616</v>
      </c>
      <c r="G696" s="33">
        <f>+G640</f>
        <v>0</v>
      </c>
      <c r="H696" s="33">
        <f t="shared" si="66"/>
        <v>0</v>
      </c>
    </row>
    <row r="697" spans="1:8" x14ac:dyDescent="0.25">
      <c r="A697" s="23" t="s">
        <v>1000</v>
      </c>
      <c r="B697" s="24" t="s">
        <v>890</v>
      </c>
      <c r="C697" s="25" t="s">
        <v>250</v>
      </c>
      <c r="D697" s="80" t="s">
        <v>60</v>
      </c>
      <c r="E697" s="42">
        <v>8.0000000000000007E-5</v>
      </c>
      <c r="F697" s="42">
        <v>3.898E-3</v>
      </c>
      <c r="G697" s="33">
        <f>+G678</f>
        <v>11500000</v>
      </c>
      <c r="H697" s="33">
        <f t="shared" si="66"/>
        <v>44827</v>
      </c>
    </row>
    <row r="698" spans="1:8" ht="22.5" x14ac:dyDescent="0.25">
      <c r="A698" s="23" t="s">
        <v>1001</v>
      </c>
      <c r="B698" s="24" t="s">
        <v>937</v>
      </c>
      <c r="C698" s="25" t="s">
        <v>938</v>
      </c>
      <c r="D698" s="80" t="s">
        <v>60</v>
      </c>
      <c r="E698" s="42">
        <v>2.0000000000000002E-5</v>
      </c>
      <c r="F698" s="42">
        <v>9.7400000000000004E-4</v>
      </c>
      <c r="G698" s="33">
        <f>+G642</f>
        <v>22500000</v>
      </c>
      <c r="H698" s="33">
        <f t="shared" si="66"/>
        <v>21915</v>
      </c>
    </row>
    <row r="699" spans="1:8" x14ac:dyDescent="0.25">
      <c r="A699" s="23" t="s">
        <v>1002</v>
      </c>
      <c r="B699" s="24" t="s">
        <v>940</v>
      </c>
      <c r="C699" s="25" t="s">
        <v>941</v>
      </c>
      <c r="D699" s="80" t="s">
        <v>54</v>
      </c>
      <c r="E699" s="42">
        <v>4.0000000000000001E-3</v>
      </c>
      <c r="F699" s="42">
        <v>0.19488</v>
      </c>
      <c r="G699" s="33">
        <f>+G643</f>
        <v>2350000</v>
      </c>
      <c r="H699" s="33">
        <f t="shared" si="66"/>
        <v>457968</v>
      </c>
    </row>
    <row r="700" spans="1:8" ht="67.5" x14ac:dyDescent="0.25">
      <c r="A700" s="23" t="s">
        <v>1003</v>
      </c>
      <c r="B700" s="24" t="s">
        <v>943</v>
      </c>
      <c r="C700" s="25" t="s">
        <v>944</v>
      </c>
      <c r="D700" s="80" t="s">
        <v>60</v>
      </c>
      <c r="E700" s="42">
        <v>1.2E-4</v>
      </c>
      <c r="F700" s="42">
        <v>5.8459999999999996E-3</v>
      </c>
      <c r="G700" s="33">
        <f>+G644</f>
        <v>15000000</v>
      </c>
      <c r="H700" s="33">
        <f t="shared" si="66"/>
        <v>87690</v>
      </c>
    </row>
    <row r="701" spans="1:8" ht="31.5" x14ac:dyDescent="0.25">
      <c r="A701" s="15" t="s">
        <v>225</v>
      </c>
      <c r="B701" s="16" t="s">
        <v>1004</v>
      </c>
      <c r="C701" s="16" t="s">
        <v>1005</v>
      </c>
      <c r="D701" s="77" t="s">
        <v>164</v>
      </c>
      <c r="E701" s="125">
        <v>28</v>
      </c>
      <c r="F701" s="125"/>
      <c r="G701" s="32">
        <v>6021394</v>
      </c>
      <c r="H701" s="33">
        <f>+G701*E701</f>
        <v>168599032</v>
      </c>
    </row>
    <row r="702" spans="1:8" ht="63" x14ac:dyDescent="0.25">
      <c r="A702" s="15" t="s">
        <v>228</v>
      </c>
      <c r="B702" s="16" t="s">
        <v>1006</v>
      </c>
      <c r="C702" s="16" t="s">
        <v>1007</v>
      </c>
      <c r="D702" s="77" t="s">
        <v>200</v>
      </c>
      <c r="E702" s="125">
        <v>63</v>
      </c>
      <c r="F702" s="125"/>
      <c r="G702" s="33"/>
      <c r="H702" s="33"/>
    </row>
    <row r="703" spans="1:8" x14ac:dyDescent="0.25">
      <c r="A703" s="17" t="s">
        <v>232</v>
      </c>
      <c r="B703" s="18" t="s">
        <v>8</v>
      </c>
      <c r="C703" s="19" t="s">
        <v>35</v>
      </c>
      <c r="D703" s="78" t="s">
        <v>858</v>
      </c>
      <c r="E703" s="40">
        <v>0.71</v>
      </c>
      <c r="F703" s="40">
        <v>44.73</v>
      </c>
      <c r="G703" s="33">
        <f>+G689</f>
        <v>26500</v>
      </c>
      <c r="H703" s="33">
        <f t="shared" ref="H703:H711" si="67">G703*F703</f>
        <v>1185345</v>
      </c>
    </row>
    <row r="704" spans="1:8" x14ac:dyDescent="0.25">
      <c r="A704" s="17" t="s">
        <v>235</v>
      </c>
      <c r="B704" s="18" t="s">
        <v>30</v>
      </c>
      <c r="C704" s="19" t="s">
        <v>15</v>
      </c>
      <c r="D704" s="78" t="s">
        <v>858</v>
      </c>
      <c r="E704" s="40">
        <v>0.81</v>
      </c>
      <c r="F704" s="40">
        <v>51.03</v>
      </c>
      <c r="G704" s="33">
        <f>+G690</f>
        <v>0</v>
      </c>
      <c r="H704" s="33">
        <f t="shared" si="67"/>
        <v>0</v>
      </c>
    </row>
    <row r="705" spans="1:8" x14ac:dyDescent="0.25">
      <c r="A705" s="20" t="s">
        <v>238</v>
      </c>
      <c r="B705" s="21" t="s">
        <v>958</v>
      </c>
      <c r="C705" s="22" t="s">
        <v>959</v>
      </c>
      <c r="D705" s="79" t="s">
        <v>861</v>
      </c>
      <c r="E705" s="41">
        <v>0.39</v>
      </c>
      <c r="F705" s="41">
        <v>24.57</v>
      </c>
      <c r="G705" s="33">
        <f>+G657</f>
        <v>13500</v>
      </c>
      <c r="H705" s="33">
        <f t="shared" si="67"/>
        <v>331695</v>
      </c>
    </row>
    <row r="706" spans="1:8" ht="33.75" x14ac:dyDescent="0.25">
      <c r="A706" s="20" t="s">
        <v>240</v>
      </c>
      <c r="B706" s="21" t="s">
        <v>960</v>
      </c>
      <c r="C706" s="22" t="s">
        <v>961</v>
      </c>
      <c r="D706" s="79" t="s">
        <v>861</v>
      </c>
      <c r="E706" s="41">
        <v>0.23</v>
      </c>
      <c r="F706" s="41">
        <v>14.49</v>
      </c>
      <c r="G706" s="33">
        <f>+G658</f>
        <v>25500</v>
      </c>
      <c r="H706" s="33">
        <f t="shared" si="67"/>
        <v>369495</v>
      </c>
    </row>
    <row r="707" spans="1:8" x14ac:dyDescent="0.25">
      <c r="A707" s="20" t="s">
        <v>245</v>
      </c>
      <c r="B707" s="21" t="s">
        <v>962</v>
      </c>
      <c r="C707" s="22" t="s">
        <v>963</v>
      </c>
      <c r="D707" s="79" t="s">
        <v>861</v>
      </c>
      <c r="E707" s="41">
        <v>0.22</v>
      </c>
      <c r="F707" s="41">
        <v>13.86</v>
      </c>
      <c r="G707" s="33">
        <f>+G659</f>
        <v>35600</v>
      </c>
      <c r="H707" s="33">
        <f t="shared" si="67"/>
        <v>493416</v>
      </c>
    </row>
    <row r="708" spans="1:8" ht="22.5" x14ac:dyDescent="0.25">
      <c r="A708" s="20" t="s">
        <v>248</v>
      </c>
      <c r="B708" s="21" t="s">
        <v>964</v>
      </c>
      <c r="C708" s="22" t="s">
        <v>965</v>
      </c>
      <c r="D708" s="79" t="s">
        <v>861</v>
      </c>
      <c r="E708" s="41">
        <v>0.23</v>
      </c>
      <c r="F708" s="41">
        <v>14.49</v>
      </c>
      <c r="G708" s="33">
        <f>+G660</f>
        <v>35600</v>
      </c>
      <c r="H708" s="33">
        <f t="shared" si="67"/>
        <v>515844</v>
      </c>
    </row>
    <row r="709" spans="1:8" ht="22.5" x14ac:dyDescent="0.25">
      <c r="A709" s="20" t="s">
        <v>253</v>
      </c>
      <c r="B709" s="21" t="s">
        <v>966</v>
      </c>
      <c r="C709" s="22" t="s">
        <v>190</v>
      </c>
      <c r="D709" s="79" t="s">
        <v>861</v>
      </c>
      <c r="E709" s="41">
        <v>0.12</v>
      </c>
      <c r="F709" s="41">
        <v>7.56</v>
      </c>
      <c r="G709" s="33">
        <f>+G675</f>
        <v>35000</v>
      </c>
      <c r="H709" s="33">
        <f t="shared" si="67"/>
        <v>264600</v>
      </c>
    </row>
    <row r="710" spans="1:8" x14ac:dyDescent="0.25">
      <c r="A710" s="23" t="s">
        <v>1008</v>
      </c>
      <c r="B710" s="24" t="s">
        <v>888</v>
      </c>
      <c r="C710" s="25" t="s">
        <v>194</v>
      </c>
      <c r="D710" s="80" t="s">
        <v>54</v>
      </c>
      <c r="E710" s="42">
        <v>0.1</v>
      </c>
      <c r="F710" s="42">
        <v>6.3</v>
      </c>
      <c r="G710" s="33">
        <f>+G677</f>
        <v>0</v>
      </c>
      <c r="H710" s="33">
        <f t="shared" si="67"/>
        <v>0</v>
      </c>
    </row>
    <row r="711" spans="1:8" ht="45" x14ac:dyDescent="0.25">
      <c r="A711" s="23" t="s">
        <v>1009</v>
      </c>
      <c r="B711" s="24" t="s">
        <v>1010</v>
      </c>
      <c r="C711" s="25" t="s">
        <v>1011</v>
      </c>
      <c r="D711" s="80" t="s">
        <v>200</v>
      </c>
      <c r="E711" s="42">
        <v>0.01</v>
      </c>
      <c r="F711" s="42">
        <v>0.63</v>
      </c>
      <c r="G711" s="33">
        <f>+G663</f>
        <v>450500</v>
      </c>
      <c r="H711" s="33">
        <f t="shared" si="67"/>
        <v>283815</v>
      </c>
    </row>
    <row r="712" spans="1:8" x14ac:dyDescent="0.25">
      <c r="A712" s="15" t="s">
        <v>258</v>
      </c>
      <c r="B712" s="16" t="s">
        <v>971</v>
      </c>
      <c r="C712" s="16" t="s">
        <v>1012</v>
      </c>
      <c r="D712" s="77" t="s">
        <v>164</v>
      </c>
      <c r="E712" s="125">
        <v>0.4284</v>
      </c>
      <c r="F712" s="125"/>
      <c r="G712" s="33">
        <f>+G664</f>
        <v>3500000</v>
      </c>
      <c r="H712" s="33">
        <f>+G712*E712</f>
        <v>1499400</v>
      </c>
    </row>
    <row r="713" spans="1:8" x14ac:dyDescent="0.25">
      <c r="A713" s="15" t="s">
        <v>270</v>
      </c>
      <c r="B713" s="16" t="s">
        <v>973</v>
      </c>
      <c r="C713" s="16" t="s">
        <v>974</v>
      </c>
      <c r="D713" s="77" t="s">
        <v>60</v>
      </c>
      <c r="E713" s="125">
        <v>1.4994000000000001</v>
      </c>
      <c r="F713" s="125"/>
      <c r="G713" s="33"/>
      <c r="H713" s="33"/>
    </row>
    <row r="714" spans="1:8" x14ac:dyDescent="0.25">
      <c r="A714" s="26"/>
      <c r="B714" s="26"/>
      <c r="C714" s="26"/>
      <c r="D714" s="127" t="s">
        <v>1013</v>
      </c>
      <c r="E714" s="127"/>
      <c r="F714" s="127"/>
      <c r="G714" s="33"/>
      <c r="H714" s="33">
        <f>G714*F714</f>
        <v>0</v>
      </c>
    </row>
    <row r="715" spans="1:8" ht="31.5" x14ac:dyDescent="0.25">
      <c r="A715" s="15" t="s">
        <v>275</v>
      </c>
      <c r="B715" s="16" t="s">
        <v>1014</v>
      </c>
      <c r="C715" s="16" t="s">
        <v>1015</v>
      </c>
      <c r="D715" s="77" t="s">
        <v>1016</v>
      </c>
      <c r="E715" s="125">
        <v>54</v>
      </c>
      <c r="F715" s="125"/>
      <c r="G715" s="33"/>
      <c r="H715" s="33"/>
    </row>
    <row r="716" spans="1:8" x14ac:dyDescent="0.25">
      <c r="A716" s="17" t="s">
        <v>276</v>
      </c>
      <c r="B716" s="18" t="s">
        <v>8</v>
      </c>
      <c r="C716" s="19" t="s">
        <v>35</v>
      </c>
      <c r="D716" s="78" t="s">
        <v>858</v>
      </c>
      <c r="E716" s="40">
        <v>0.65</v>
      </c>
      <c r="F716" s="40">
        <v>35.1</v>
      </c>
      <c r="G716" s="33">
        <f>+G703</f>
        <v>26500</v>
      </c>
      <c r="H716" s="33">
        <f t="shared" ref="H716:H717" si="68">G716*F716</f>
        <v>930150</v>
      </c>
    </row>
    <row r="717" spans="1:8" ht="22.5" x14ac:dyDescent="0.25">
      <c r="A717" s="23" t="s">
        <v>278</v>
      </c>
      <c r="B717" s="24" t="s">
        <v>1017</v>
      </c>
      <c r="C717" s="25" t="s">
        <v>1018</v>
      </c>
      <c r="D717" s="80" t="s">
        <v>54</v>
      </c>
      <c r="E717" s="42">
        <v>0.03</v>
      </c>
      <c r="F717" s="42">
        <v>1.62</v>
      </c>
      <c r="G717" s="32">
        <v>0</v>
      </c>
      <c r="H717" s="33">
        <f t="shared" si="68"/>
        <v>0</v>
      </c>
    </row>
    <row r="718" spans="1:8" ht="31.5" x14ac:dyDescent="0.25">
      <c r="A718" s="15" t="s">
        <v>281</v>
      </c>
      <c r="B718" s="16" t="s">
        <v>1019</v>
      </c>
      <c r="C718" s="16" t="s">
        <v>1020</v>
      </c>
      <c r="D718" s="77" t="s">
        <v>164</v>
      </c>
      <c r="E718" s="125">
        <v>54</v>
      </c>
      <c r="F718" s="125"/>
      <c r="G718" s="32">
        <v>225300</v>
      </c>
      <c r="H718" s="33">
        <f>+G718*E718</f>
        <v>12166200</v>
      </c>
    </row>
    <row r="719" spans="1:8" ht="21" x14ac:dyDescent="0.25">
      <c r="A719" s="15" t="s">
        <v>288</v>
      </c>
      <c r="B719" s="16" t="s">
        <v>1021</v>
      </c>
      <c r="C719" s="16" t="s">
        <v>1022</v>
      </c>
      <c r="D719" s="77" t="s">
        <v>1023</v>
      </c>
      <c r="E719" s="125">
        <v>16</v>
      </c>
      <c r="F719" s="125"/>
      <c r="G719" s="33"/>
      <c r="H719" s="33"/>
    </row>
    <row r="720" spans="1:8" x14ac:dyDescent="0.25">
      <c r="A720" s="17" t="s">
        <v>289</v>
      </c>
      <c r="B720" s="18" t="s">
        <v>8</v>
      </c>
      <c r="C720" s="19" t="s">
        <v>35</v>
      </c>
      <c r="D720" s="78" t="s">
        <v>858</v>
      </c>
      <c r="E720" s="40">
        <v>10.07</v>
      </c>
      <c r="F720" s="40">
        <v>161.12</v>
      </c>
      <c r="G720" s="33">
        <f>+G716</f>
        <v>26500</v>
      </c>
      <c r="H720" s="33">
        <f t="shared" ref="H720:H729" si="69">G720*F720</f>
        <v>4269680</v>
      </c>
    </row>
    <row r="721" spans="1:8" x14ac:dyDescent="0.25">
      <c r="A721" s="17" t="s">
        <v>291</v>
      </c>
      <c r="B721" s="18" t="s">
        <v>30</v>
      </c>
      <c r="C721" s="19" t="s">
        <v>15</v>
      </c>
      <c r="D721" s="78" t="s">
        <v>858</v>
      </c>
      <c r="E721" s="40">
        <v>2.64</v>
      </c>
      <c r="F721" s="40">
        <v>42.24</v>
      </c>
      <c r="G721" s="33">
        <f>+G704</f>
        <v>0</v>
      </c>
      <c r="H721" s="33">
        <f t="shared" si="69"/>
        <v>0</v>
      </c>
    </row>
    <row r="722" spans="1:8" x14ac:dyDescent="0.25">
      <c r="A722" s="20" t="s">
        <v>1024</v>
      </c>
      <c r="B722" s="21" t="s">
        <v>1025</v>
      </c>
      <c r="C722" s="22" t="s">
        <v>171</v>
      </c>
      <c r="D722" s="79" t="s">
        <v>861</v>
      </c>
      <c r="E722" s="41">
        <v>0.14000000000000001</v>
      </c>
      <c r="F722" s="41">
        <v>2.2400000000000002</v>
      </c>
      <c r="G722" s="33">
        <f>+G564</f>
        <v>5500</v>
      </c>
      <c r="H722" s="33">
        <f t="shared" si="69"/>
        <v>12320.000000000002</v>
      </c>
    </row>
    <row r="723" spans="1:8" ht="45" x14ac:dyDescent="0.25">
      <c r="A723" s="20" t="s">
        <v>1026</v>
      </c>
      <c r="B723" s="21" t="s">
        <v>1027</v>
      </c>
      <c r="C723" s="22" t="s">
        <v>1028</v>
      </c>
      <c r="D723" s="79" t="s">
        <v>861</v>
      </c>
      <c r="E723" s="41">
        <v>2.63</v>
      </c>
      <c r="F723" s="41">
        <v>42.08</v>
      </c>
      <c r="G723" s="35">
        <f>+G694</f>
        <v>113021</v>
      </c>
      <c r="H723" s="33">
        <f t="shared" si="69"/>
        <v>4755923.68</v>
      </c>
    </row>
    <row r="724" spans="1:8" ht="22.5" x14ac:dyDescent="0.25">
      <c r="A724" s="20" t="s">
        <v>1029</v>
      </c>
      <c r="B724" s="21" t="s">
        <v>883</v>
      </c>
      <c r="C724" s="22" t="s">
        <v>190</v>
      </c>
      <c r="D724" s="79" t="s">
        <v>861</v>
      </c>
      <c r="E724" s="41">
        <v>0.01</v>
      </c>
      <c r="F724" s="41">
        <v>0.16</v>
      </c>
      <c r="G724" s="33">
        <f>+G709</f>
        <v>35000</v>
      </c>
      <c r="H724" s="33">
        <f t="shared" si="69"/>
        <v>5600</v>
      </c>
    </row>
    <row r="725" spans="1:8" x14ac:dyDescent="0.25">
      <c r="A725" s="23" t="s">
        <v>1030</v>
      </c>
      <c r="B725" s="24" t="s">
        <v>1031</v>
      </c>
      <c r="C725" s="25" t="s">
        <v>1032</v>
      </c>
      <c r="D725" s="80" t="s">
        <v>60</v>
      </c>
      <c r="E725" s="42">
        <v>1E-3</v>
      </c>
      <c r="F725" s="42">
        <v>1.6E-2</v>
      </c>
      <c r="G725" s="32">
        <v>12000000</v>
      </c>
      <c r="H725" s="33">
        <f t="shared" si="69"/>
        <v>192000</v>
      </c>
    </row>
    <row r="726" spans="1:8" x14ac:dyDescent="0.25">
      <c r="A726" s="23" t="s">
        <v>1033</v>
      </c>
      <c r="B726" s="24" t="s">
        <v>890</v>
      </c>
      <c r="C726" s="25" t="s">
        <v>250</v>
      </c>
      <c r="D726" s="80" t="s">
        <v>60</v>
      </c>
      <c r="E726" s="42">
        <v>8.0000000000000004E-4</v>
      </c>
      <c r="F726" s="42">
        <v>1.2800000000000001E-2</v>
      </c>
      <c r="G726" s="33">
        <f>+G697</f>
        <v>11500000</v>
      </c>
      <c r="H726" s="33">
        <f t="shared" si="69"/>
        <v>147200</v>
      </c>
    </row>
    <row r="727" spans="1:8" ht="33.75" x14ac:dyDescent="0.25">
      <c r="A727" s="23" t="s">
        <v>1034</v>
      </c>
      <c r="B727" s="24" t="s">
        <v>1035</v>
      </c>
      <c r="C727" s="25" t="s">
        <v>1036</v>
      </c>
      <c r="D727" s="80" t="s">
        <v>54</v>
      </c>
      <c r="E727" s="42">
        <v>4.2000000000000003E-2</v>
      </c>
      <c r="F727" s="42">
        <v>0.67200000000000004</v>
      </c>
      <c r="G727" s="35">
        <f>+G643</f>
        <v>2350000</v>
      </c>
      <c r="H727" s="33">
        <f t="shared" si="69"/>
        <v>1579200</v>
      </c>
    </row>
    <row r="728" spans="1:8" ht="33.75" x14ac:dyDescent="0.25">
      <c r="A728" s="23" t="s">
        <v>1037</v>
      </c>
      <c r="B728" s="24" t="s">
        <v>910</v>
      </c>
      <c r="C728" s="25" t="s">
        <v>911</v>
      </c>
      <c r="D728" s="80" t="s">
        <v>54</v>
      </c>
      <c r="E728" s="42">
        <v>6.6000000000000003E-2</v>
      </c>
      <c r="F728" s="42">
        <v>1.056</v>
      </c>
      <c r="G728" s="33">
        <f>+G685</f>
        <v>2350000</v>
      </c>
      <c r="H728" s="33">
        <f t="shared" si="69"/>
        <v>2481600</v>
      </c>
    </row>
    <row r="729" spans="1:8" ht="33.75" x14ac:dyDescent="0.25">
      <c r="A729" s="23" t="s">
        <v>1038</v>
      </c>
      <c r="B729" s="24" t="s">
        <v>1039</v>
      </c>
      <c r="C729" s="25" t="s">
        <v>1040</v>
      </c>
      <c r="D729" s="80" t="s">
        <v>60</v>
      </c>
      <c r="E729" s="42">
        <v>1.4E-2</v>
      </c>
      <c r="F729" s="42">
        <v>0.224</v>
      </c>
      <c r="G729" s="32">
        <v>14200000</v>
      </c>
      <c r="H729" s="33">
        <f t="shared" si="69"/>
        <v>3180800</v>
      </c>
    </row>
    <row r="730" spans="1:8" ht="21" x14ac:dyDescent="0.25">
      <c r="A730" s="15" t="s">
        <v>292</v>
      </c>
      <c r="B730" s="16" t="s">
        <v>1041</v>
      </c>
      <c r="C730" s="16" t="s">
        <v>1042</v>
      </c>
      <c r="D730" s="77" t="s">
        <v>164</v>
      </c>
      <c r="E730" s="125">
        <v>16</v>
      </c>
      <c r="F730" s="125"/>
      <c r="G730" s="32">
        <v>8122987</v>
      </c>
      <c r="H730" s="33">
        <f>+G730*E730</f>
        <v>129967792</v>
      </c>
    </row>
    <row r="731" spans="1:8" ht="21" x14ac:dyDescent="0.25">
      <c r="A731" s="15" t="s">
        <v>370</v>
      </c>
      <c r="B731" s="16" t="s">
        <v>1043</v>
      </c>
      <c r="C731" s="16" t="s">
        <v>1044</v>
      </c>
      <c r="D731" s="77" t="s">
        <v>1023</v>
      </c>
      <c r="E731" s="125">
        <v>8</v>
      </c>
      <c r="F731" s="125"/>
      <c r="G731" s="33"/>
      <c r="H731" s="33"/>
    </row>
    <row r="732" spans="1:8" x14ac:dyDescent="0.25">
      <c r="A732" s="17" t="s">
        <v>374</v>
      </c>
      <c r="B732" s="18" t="s">
        <v>8</v>
      </c>
      <c r="C732" s="19" t="s">
        <v>35</v>
      </c>
      <c r="D732" s="78" t="s">
        <v>858</v>
      </c>
      <c r="E732" s="40">
        <v>10.07</v>
      </c>
      <c r="F732" s="40">
        <v>80.56</v>
      </c>
      <c r="G732" s="33">
        <f>+G720</f>
        <v>26500</v>
      </c>
      <c r="H732" s="33">
        <f t="shared" ref="H732:H742" si="70">G732*F732</f>
        <v>2134840</v>
      </c>
    </row>
    <row r="733" spans="1:8" x14ac:dyDescent="0.25">
      <c r="A733" s="17" t="s">
        <v>377</v>
      </c>
      <c r="B733" s="18" t="s">
        <v>30</v>
      </c>
      <c r="C733" s="19" t="s">
        <v>15</v>
      </c>
      <c r="D733" s="78" t="s">
        <v>858</v>
      </c>
      <c r="E733" s="40">
        <v>2.64</v>
      </c>
      <c r="F733" s="40">
        <v>21.12</v>
      </c>
      <c r="G733" s="33">
        <f>+G721</f>
        <v>0</v>
      </c>
      <c r="H733" s="33">
        <f t="shared" si="70"/>
        <v>0</v>
      </c>
    </row>
    <row r="734" spans="1:8" x14ac:dyDescent="0.25">
      <c r="A734" s="20" t="s">
        <v>380</v>
      </c>
      <c r="B734" s="21" t="s">
        <v>1025</v>
      </c>
      <c r="C734" s="22" t="s">
        <v>171</v>
      </c>
      <c r="D734" s="79" t="s">
        <v>861</v>
      </c>
      <c r="E734" s="41">
        <v>0.14000000000000001</v>
      </c>
      <c r="F734" s="41">
        <v>1.1200000000000001</v>
      </c>
      <c r="G734" s="33">
        <f>+G722</f>
        <v>5500</v>
      </c>
      <c r="H734" s="33">
        <f t="shared" si="70"/>
        <v>6160.0000000000009</v>
      </c>
    </row>
    <row r="735" spans="1:8" ht="45" x14ac:dyDescent="0.25">
      <c r="A735" s="20" t="s">
        <v>384</v>
      </c>
      <c r="B735" s="21" t="s">
        <v>1027</v>
      </c>
      <c r="C735" s="22" t="s">
        <v>1028</v>
      </c>
      <c r="D735" s="79" t="s">
        <v>861</v>
      </c>
      <c r="E735" s="41">
        <v>1.25</v>
      </c>
      <c r="F735" s="41">
        <v>10</v>
      </c>
      <c r="G735" s="33">
        <f>+G723</f>
        <v>113021</v>
      </c>
      <c r="H735" s="33">
        <f t="shared" si="70"/>
        <v>1130210</v>
      </c>
    </row>
    <row r="736" spans="1:8" ht="45" x14ac:dyDescent="0.25">
      <c r="A736" s="20" t="s">
        <v>387</v>
      </c>
      <c r="B736" s="21" t="s">
        <v>1045</v>
      </c>
      <c r="C736" s="22" t="s">
        <v>1046</v>
      </c>
      <c r="D736" s="79" t="s">
        <v>861</v>
      </c>
      <c r="E736" s="41">
        <v>1.38</v>
      </c>
      <c r="F736" s="41">
        <v>11.04</v>
      </c>
      <c r="G736" s="35">
        <f>+G723</f>
        <v>113021</v>
      </c>
      <c r="H736" s="33">
        <f t="shared" si="70"/>
        <v>1247751.8399999999</v>
      </c>
    </row>
    <row r="737" spans="1:8" ht="22.5" x14ac:dyDescent="0.25">
      <c r="A737" s="20" t="s">
        <v>390</v>
      </c>
      <c r="B737" s="21" t="s">
        <v>883</v>
      </c>
      <c r="C737" s="22" t="s">
        <v>190</v>
      </c>
      <c r="D737" s="79" t="s">
        <v>861</v>
      </c>
      <c r="E737" s="41">
        <v>0.01</v>
      </c>
      <c r="F737" s="41">
        <v>0.08</v>
      </c>
      <c r="G737" s="33">
        <f t="shared" ref="G737:G742" si="71">+G724</f>
        <v>35000</v>
      </c>
      <c r="H737" s="33">
        <f t="shared" si="70"/>
        <v>2800</v>
      </c>
    </row>
    <row r="738" spans="1:8" x14ac:dyDescent="0.25">
      <c r="A738" s="23" t="s">
        <v>393</v>
      </c>
      <c r="B738" s="24" t="s">
        <v>1031</v>
      </c>
      <c r="C738" s="25" t="s">
        <v>1032</v>
      </c>
      <c r="D738" s="80" t="s">
        <v>60</v>
      </c>
      <c r="E738" s="42">
        <v>1E-3</v>
      </c>
      <c r="F738" s="42">
        <v>8.0000000000000002E-3</v>
      </c>
      <c r="G738" s="33">
        <f t="shared" si="71"/>
        <v>12000000</v>
      </c>
      <c r="H738" s="33">
        <f t="shared" si="70"/>
        <v>96000</v>
      </c>
    </row>
    <row r="739" spans="1:8" x14ac:dyDescent="0.25">
      <c r="A739" s="23" t="s">
        <v>396</v>
      </c>
      <c r="B739" s="24" t="s">
        <v>890</v>
      </c>
      <c r="C739" s="25" t="s">
        <v>250</v>
      </c>
      <c r="D739" s="80" t="s">
        <v>60</v>
      </c>
      <c r="E739" s="42">
        <v>8.0000000000000004E-4</v>
      </c>
      <c r="F739" s="42">
        <v>6.4000000000000003E-3</v>
      </c>
      <c r="G739" s="33">
        <f t="shared" si="71"/>
        <v>11500000</v>
      </c>
      <c r="H739" s="33">
        <f t="shared" si="70"/>
        <v>73600</v>
      </c>
    </row>
    <row r="740" spans="1:8" ht="33.75" x14ac:dyDescent="0.25">
      <c r="A740" s="23" t="s">
        <v>399</v>
      </c>
      <c r="B740" s="24" t="s">
        <v>1035</v>
      </c>
      <c r="C740" s="25" t="s">
        <v>1036</v>
      </c>
      <c r="D740" s="80" t="s">
        <v>54</v>
      </c>
      <c r="E740" s="42">
        <v>4.2000000000000003E-2</v>
      </c>
      <c r="F740" s="42">
        <v>0.33600000000000002</v>
      </c>
      <c r="G740" s="33">
        <f t="shared" si="71"/>
        <v>2350000</v>
      </c>
      <c r="H740" s="33">
        <f t="shared" si="70"/>
        <v>789600</v>
      </c>
    </row>
    <row r="741" spans="1:8" ht="33.75" x14ac:dyDescent="0.25">
      <c r="A741" s="23" t="s">
        <v>403</v>
      </c>
      <c r="B741" s="24" t="s">
        <v>910</v>
      </c>
      <c r="C741" s="25" t="s">
        <v>911</v>
      </c>
      <c r="D741" s="80" t="s">
        <v>54</v>
      </c>
      <c r="E741" s="42">
        <v>6.6000000000000003E-2</v>
      </c>
      <c r="F741" s="42">
        <v>0.52800000000000002</v>
      </c>
      <c r="G741" s="33">
        <f t="shared" si="71"/>
        <v>2350000</v>
      </c>
      <c r="H741" s="33">
        <f t="shared" si="70"/>
        <v>1240800</v>
      </c>
    </row>
    <row r="742" spans="1:8" ht="33.75" x14ac:dyDescent="0.25">
      <c r="A742" s="23" t="s">
        <v>408</v>
      </c>
      <c r="B742" s="24" t="s">
        <v>1039</v>
      </c>
      <c r="C742" s="25" t="s">
        <v>1040</v>
      </c>
      <c r="D742" s="80" t="s">
        <v>60</v>
      </c>
      <c r="E742" s="42">
        <v>1.4E-2</v>
      </c>
      <c r="F742" s="42">
        <v>0.112</v>
      </c>
      <c r="G742" s="33">
        <f t="shared" si="71"/>
        <v>14200000</v>
      </c>
      <c r="H742" s="33">
        <f t="shared" si="70"/>
        <v>1590400</v>
      </c>
    </row>
    <row r="743" spans="1:8" ht="31.5" x14ac:dyDescent="0.25">
      <c r="A743" s="15" t="s">
        <v>427</v>
      </c>
      <c r="B743" s="16" t="s">
        <v>1047</v>
      </c>
      <c r="C743" s="16" t="s">
        <v>1048</v>
      </c>
      <c r="D743" s="77" t="s">
        <v>164</v>
      </c>
      <c r="E743" s="125">
        <v>8</v>
      </c>
      <c r="F743" s="125"/>
      <c r="G743" s="32">
        <v>4916977</v>
      </c>
      <c r="H743" s="33">
        <f>+G743*E743</f>
        <v>39335816</v>
      </c>
    </row>
    <row r="744" spans="1:8" ht="31.5" x14ac:dyDescent="0.25">
      <c r="A744" s="15" t="s">
        <v>431</v>
      </c>
      <c r="B744" s="16" t="s">
        <v>1049</v>
      </c>
      <c r="C744" s="16" t="s">
        <v>1050</v>
      </c>
      <c r="D744" s="77" t="s">
        <v>54</v>
      </c>
      <c r="E744" s="125">
        <v>7.88</v>
      </c>
      <c r="F744" s="125"/>
      <c r="G744" s="33"/>
      <c r="H744" s="33"/>
    </row>
    <row r="745" spans="1:8" x14ac:dyDescent="0.25">
      <c r="A745" s="17" t="s">
        <v>1051</v>
      </c>
      <c r="B745" s="18" t="s">
        <v>8</v>
      </c>
      <c r="C745" s="19" t="s">
        <v>35</v>
      </c>
      <c r="D745" s="78" t="s">
        <v>858</v>
      </c>
      <c r="E745" s="40">
        <v>22.94</v>
      </c>
      <c r="F745" s="40">
        <v>180.7672</v>
      </c>
      <c r="G745" s="33">
        <f>+G732</f>
        <v>26500</v>
      </c>
      <c r="H745" s="33">
        <f t="shared" ref="H745:H760" si="72">G745*F745</f>
        <v>4790330.8</v>
      </c>
    </row>
    <row r="746" spans="1:8" x14ac:dyDescent="0.25">
      <c r="A746" s="17" t="s">
        <v>1052</v>
      </c>
      <c r="B746" s="18" t="s">
        <v>30</v>
      </c>
      <c r="C746" s="19" t="s">
        <v>15</v>
      </c>
      <c r="D746" s="78" t="s">
        <v>858</v>
      </c>
      <c r="E746" s="40">
        <v>0.28999999999999998</v>
      </c>
      <c r="F746" s="40">
        <v>2.2852000000000001</v>
      </c>
      <c r="G746" s="33">
        <f>+G733</f>
        <v>0</v>
      </c>
      <c r="H746" s="33">
        <f t="shared" si="72"/>
        <v>0</v>
      </c>
    </row>
    <row r="747" spans="1:8" ht="33.75" x14ac:dyDescent="0.25">
      <c r="A747" s="20" t="s">
        <v>1053</v>
      </c>
      <c r="B747" s="21" t="s">
        <v>875</v>
      </c>
      <c r="C747" s="22" t="s">
        <v>314</v>
      </c>
      <c r="D747" s="79" t="s">
        <v>861</v>
      </c>
      <c r="E747" s="41">
        <v>0.12</v>
      </c>
      <c r="F747" s="41">
        <v>0.9456</v>
      </c>
      <c r="G747" s="33">
        <f>+G672</f>
        <v>113021</v>
      </c>
      <c r="H747" s="33">
        <f t="shared" si="72"/>
        <v>106872.65760000001</v>
      </c>
    </row>
    <row r="748" spans="1:8" x14ac:dyDescent="0.25">
      <c r="A748" s="20" t="s">
        <v>1054</v>
      </c>
      <c r="B748" s="21" t="s">
        <v>1055</v>
      </c>
      <c r="C748" s="22" t="s">
        <v>1056</v>
      </c>
      <c r="D748" s="79" t="s">
        <v>861</v>
      </c>
      <c r="E748" s="41">
        <v>1.92</v>
      </c>
      <c r="F748" s="41">
        <v>15.1296</v>
      </c>
      <c r="G748" s="32">
        <v>25000</v>
      </c>
      <c r="H748" s="33">
        <f t="shared" si="72"/>
        <v>378240</v>
      </c>
    </row>
    <row r="749" spans="1:8" ht="22.5" x14ac:dyDescent="0.25">
      <c r="A749" s="20" t="s">
        <v>1057</v>
      </c>
      <c r="B749" s="21" t="s">
        <v>966</v>
      </c>
      <c r="C749" s="22" t="s">
        <v>190</v>
      </c>
      <c r="D749" s="79" t="s">
        <v>861</v>
      </c>
      <c r="E749" s="41">
        <v>0.17</v>
      </c>
      <c r="F749" s="41">
        <v>1.3395999999999999</v>
      </c>
      <c r="G749" s="33">
        <f>+G737</f>
        <v>35000</v>
      </c>
      <c r="H749" s="33">
        <f t="shared" si="72"/>
        <v>46886</v>
      </c>
    </row>
    <row r="750" spans="1:8" ht="22.5" x14ac:dyDescent="0.25">
      <c r="A750" s="20" t="s">
        <v>1058</v>
      </c>
      <c r="B750" s="21" t="s">
        <v>1059</v>
      </c>
      <c r="C750" s="22" t="s">
        <v>1060</v>
      </c>
      <c r="D750" s="79" t="s">
        <v>861</v>
      </c>
      <c r="E750" s="41">
        <v>0.21</v>
      </c>
      <c r="F750" s="41">
        <v>1.6548</v>
      </c>
      <c r="G750" s="35">
        <f>+G670</f>
        <v>500</v>
      </c>
      <c r="H750" s="33">
        <f t="shared" si="72"/>
        <v>827.4</v>
      </c>
    </row>
    <row r="751" spans="1:8" x14ac:dyDescent="0.25">
      <c r="A751" s="23" t="s">
        <v>1061</v>
      </c>
      <c r="B751" s="24" t="s">
        <v>1062</v>
      </c>
      <c r="C751" s="25" t="s">
        <v>194</v>
      </c>
      <c r="D751" s="80" t="s">
        <v>54</v>
      </c>
      <c r="E751" s="42">
        <v>7.0000000000000001E-3</v>
      </c>
      <c r="F751" s="42">
        <v>5.5160000000000001E-2</v>
      </c>
      <c r="G751" s="33">
        <f>+G710</f>
        <v>0</v>
      </c>
      <c r="H751" s="33">
        <f t="shared" si="72"/>
        <v>0</v>
      </c>
    </row>
    <row r="752" spans="1:8" ht="22.5" x14ac:dyDescent="0.25">
      <c r="A752" s="23" t="s">
        <v>1063</v>
      </c>
      <c r="B752" s="24" t="s">
        <v>1064</v>
      </c>
      <c r="C752" s="25" t="s">
        <v>1065</v>
      </c>
      <c r="D752" s="80" t="s">
        <v>54</v>
      </c>
      <c r="E752" s="42">
        <v>0.08</v>
      </c>
      <c r="F752" s="42">
        <v>0.63039999999999996</v>
      </c>
      <c r="G752" s="50">
        <v>0</v>
      </c>
      <c r="H752" s="33">
        <f t="shared" si="72"/>
        <v>0</v>
      </c>
    </row>
    <row r="753" spans="1:8" x14ac:dyDescent="0.25">
      <c r="A753" s="23" t="s">
        <v>1066</v>
      </c>
      <c r="B753" s="24" t="s">
        <v>1067</v>
      </c>
      <c r="C753" s="25" t="s">
        <v>1068</v>
      </c>
      <c r="D753" s="80" t="s">
        <v>54</v>
      </c>
      <c r="E753" s="42">
        <v>1.02</v>
      </c>
      <c r="F753" s="42">
        <v>8.0375999999999994</v>
      </c>
      <c r="G753" s="50">
        <f>466043*1.3</f>
        <v>605855.9</v>
      </c>
      <c r="H753" s="33">
        <f t="shared" si="72"/>
        <v>4869627.3818399999</v>
      </c>
    </row>
    <row r="754" spans="1:8" x14ac:dyDescent="0.25">
      <c r="A754" s="23" t="s">
        <v>1069</v>
      </c>
      <c r="B754" s="24" t="s">
        <v>890</v>
      </c>
      <c r="C754" s="25" t="s">
        <v>250</v>
      </c>
      <c r="D754" s="80" t="s">
        <v>60</v>
      </c>
      <c r="E754" s="42">
        <v>2.8E-3</v>
      </c>
      <c r="F754" s="42">
        <v>2.2064E-2</v>
      </c>
      <c r="G754" s="33">
        <f>+G739</f>
        <v>11500000</v>
      </c>
      <c r="H754" s="33">
        <f t="shared" si="72"/>
        <v>253736</v>
      </c>
    </row>
    <row r="755" spans="1:8" ht="22.5" x14ac:dyDescent="0.25">
      <c r="A755" s="23" t="s">
        <v>1070</v>
      </c>
      <c r="B755" s="24" t="s">
        <v>1071</v>
      </c>
      <c r="C755" s="25" t="s">
        <v>1072</v>
      </c>
      <c r="D755" s="80" t="s">
        <v>60</v>
      </c>
      <c r="E755" s="42">
        <v>2.3999999999999998E-3</v>
      </c>
      <c r="F755" s="42">
        <v>1.8912000000000002E-2</v>
      </c>
      <c r="G755" s="32">
        <v>3000000</v>
      </c>
      <c r="H755" s="33">
        <f t="shared" si="72"/>
        <v>56736.000000000007</v>
      </c>
    </row>
    <row r="756" spans="1:8" ht="22.5" x14ac:dyDescent="0.25">
      <c r="A756" s="23" t="s">
        <v>1073</v>
      </c>
      <c r="B756" s="24" t="s">
        <v>1074</v>
      </c>
      <c r="C756" s="25" t="s">
        <v>1075</v>
      </c>
      <c r="D756" s="80" t="s">
        <v>60</v>
      </c>
      <c r="E756" s="42">
        <v>3.0000000000000001E-3</v>
      </c>
      <c r="F756" s="42">
        <v>2.3640000000000001E-2</v>
      </c>
      <c r="G756" s="32">
        <v>3500000</v>
      </c>
      <c r="H756" s="33">
        <f t="shared" si="72"/>
        <v>82740</v>
      </c>
    </row>
    <row r="757" spans="1:8" ht="33.75" x14ac:dyDescent="0.25">
      <c r="A757" s="23" t="s">
        <v>1076</v>
      </c>
      <c r="B757" s="24" t="s">
        <v>904</v>
      </c>
      <c r="C757" s="25" t="s">
        <v>905</v>
      </c>
      <c r="D757" s="80" t="s">
        <v>54</v>
      </c>
      <c r="E757" s="42">
        <v>0.1</v>
      </c>
      <c r="F757" s="42">
        <v>0.78800000000000003</v>
      </c>
      <c r="G757" s="33">
        <f>+G683</f>
        <v>2350000</v>
      </c>
      <c r="H757" s="33">
        <f t="shared" si="72"/>
        <v>1851800</v>
      </c>
    </row>
    <row r="758" spans="1:8" ht="33.75" x14ac:dyDescent="0.25">
      <c r="A758" s="23" t="s">
        <v>1077</v>
      </c>
      <c r="B758" s="24" t="s">
        <v>1078</v>
      </c>
      <c r="C758" s="25" t="s">
        <v>1079</v>
      </c>
      <c r="D758" s="80" t="s">
        <v>54</v>
      </c>
      <c r="E758" s="42">
        <v>7.0000000000000007E-2</v>
      </c>
      <c r="F758" s="42">
        <v>0.55159999999999998</v>
      </c>
      <c r="G758" s="35">
        <f>+G727</f>
        <v>2350000</v>
      </c>
      <c r="H758" s="33">
        <f t="shared" si="72"/>
        <v>1296260</v>
      </c>
    </row>
    <row r="759" spans="1:8" x14ac:dyDescent="0.25">
      <c r="A759" s="23" t="s">
        <v>1080</v>
      </c>
      <c r="B759" s="24" t="s">
        <v>1081</v>
      </c>
      <c r="C759" s="25" t="s">
        <v>1082</v>
      </c>
      <c r="D759" s="80" t="s">
        <v>164</v>
      </c>
      <c r="E759" s="42">
        <v>2</v>
      </c>
      <c r="F759" s="42">
        <v>15.76</v>
      </c>
      <c r="G759" s="32">
        <v>15000</v>
      </c>
      <c r="H759" s="33">
        <f t="shared" si="72"/>
        <v>236400</v>
      </c>
    </row>
    <row r="760" spans="1:8" x14ac:dyDescent="0.25">
      <c r="A760" s="23" t="s">
        <v>1083</v>
      </c>
      <c r="B760" s="24" t="s">
        <v>1084</v>
      </c>
      <c r="C760" s="25" t="s">
        <v>366</v>
      </c>
      <c r="D760" s="80" t="s">
        <v>367</v>
      </c>
      <c r="E760" s="42">
        <v>3</v>
      </c>
      <c r="F760" s="42">
        <v>23.64</v>
      </c>
      <c r="G760" s="33">
        <f>+G126</f>
        <v>23000</v>
      </c>
      <c r="H760" s="33">
        <f t="shared" si="72"/>
        <v>543720</v>
      </c>
    </row>
    <row r="761" spans="1:8" ht="21" x14ac:dyDescent="0.25">
      <c r="A761" s="15" t="s">
        <v>435</v>
      </c>
      <c r="B761" s="16" t="s">
        <v>1085</v>
      </c>
      <c r="C761" s="16" t="s">
        <v>1086</v>
      </c>
      <c r="D761" s="77" t="s">
        <v>107</v>
      </c>
      <c r="E761" s="125">
        <v>2.93E-2</v>
      </c>
      <c r="F761" s="125"/>
      <c r="G761" s="33"/>
      <c r="H761" s="33"/>
    </row>
    <row r="762" spans="1:8" x14ac:dyDescent="0.25">
      <c r="A762" s="17" t="s">
        <v>1087</v>
      </c>
      <c r="B762" s="18" t="s">
        <v>8</v>
      </c>
      <c r="C762" s="19" t="s">
        <v>35</v>
      </c>
      <c r="D762" s="78" t="s">
        <v>858</v>
      </c>
      <c r="E762" s="40">
        <v>853.47</v>
      </c>
      <c r="F762" s="40">
        <v>25.006699999999999</v>
      </c>
      <c r="G762" s="33">
        <f>+G745</f>
        <v>26500</v>
      </c>
      <c r="H762" s="33">
        <f t="shared" ref="H762:H775" si="73">G762*F762</f>
        <v>662677.54999999993</v>
      </c>
    </row>
    <row r="763" spans="1:8" x14ac:dyDescent="0.25">
      <c r="A763" s="17" t="s">
        <v>1088</v>
      </c>
      <c r="B763" s="18" t="s">
        <v>30</v>
      </c>
      <c r="C763" s="19" t="s">
        <v>15</v>
      </c>
      <c r="D763" s="78" t="s">
        <v>858</v>
      </c>
      <c r="E763" s="40">
        <v>31.08</v>
      </c>
      <c r="F763" s="40">
        <v>0.91064400000000001</v>
      </c>
      <c r="G763" s="33">
        <f>+G746</f>
        <v>0</v>
      </c>
      <c r="H763" s="33">
        <f t="shared" si="73"/>
        <v>0</v>
      </c>
    </row>
    <row r="764" spans="1:8" ht="33.75" x14ac:dyDescent="0.25">
      <c r="A764" s="20" t="s">
        <v>1089</v>
      </c>
      <c r="B764" s="21" t="s">
        <v>875</v>
      </c>
      <c r="C764" s="22" t="s">
        <v>314</v>
      </c>
      <c r="D764" s="79" t="s">
        <v>861</v>
      </c>
      <c r="E764" s="41">
        <v>30.64</v>
      </c>
      <c r="F764" s="41">
        <v>0.89775199999999999</v>
      </c>
      <c r="G764" s="33">
        <f>+G747</f>
        <v>113021</v>
      </c>
      <c r="H764" s="33">
        <f t="shared" si="73"/>
        <v>101464.828792</v>
      </c>
    </row>
    <row r="765" spans="1:8" ht="22.5" x14ac:dyDescent="0.25">
      <c r="A765" s="20" t="s">
        <v>1090</v>
      </c>
      <c r="B765" s="21" t="s">
        <v>1091</v>
      </c>
      <c r="C765" s="22" t="s">
        <v>497</v>
      </c>
      <c r="D765" s="79" t="s">
        <v>861</v>
      </c>
      <c r="E765" s="41">
        <v>79.239999999999995</v>
      </c>
      <c r="F765" s="41">
        <v>2.3216999999999999</v>
      </c>
      <c r="G765" s="33">
        <f>+G591</f>
        <v>22300</v>
      </c>
      <c r="H765" s="33">
        <f t="shared" si="73"/>
        <v>51773.909999999996</v>
      </c>
    </row>
    <row r="766" spans="1:8" ht="22.5" x14ac:dyDescent="0.25">
      <c r="A766" s="20" t="s">
        <v>1092</v>
      </c>
      <c r="B766" s="21" t="s">
        <v>883</v>
      </c>
      <c r="C766" s="22" t="s">
        <v>190</v>
      </c>
      <c r="D766" s="79" t="s">
        <v>861</v>
      </c>
      <c r="E766" s="41">
        <v>0.44</v>
      </c>
      <c r="F766" s="41">
        <v>1.2892000000000001E-2</v>
      </c>
      <c r="G766" s="33">
        <f>+G749</f>
        <v>35000</v>
      </c>
      <c r="H766" s="33">
        <f t="shared" si="73"/>
        <v>451.22</v>
      </c>
    </row>
    <row r="767" spans="1:8" ht="22.5" x14ac:dyDescent="0.25">
      <c r="A767" s="23" t="s">
        <v>1093</v>
      </c>
      <c r="B767" s="24" t="s">
        <v>937</v>
      </c>
      <c r="C767" s="25" t="s">
        <v>938</v>
      </c>
      <c r="D767" s="80" t="s">
        <v>60</v>
      </c>
      <c r="E767" s="42">
        <v>8.9999999999999993E-3</v>
      </c>
      <c r="F767" s="42">
        <v>2.6400000000000002E-4</v>
      </c>
      <c r="G767" s="33">
        <f>+G698</f>
        <v>22500000</v>
      </c>
      <c r="H767" s="33">
        <f t="shared" si="73"/>
        <v>5940.0000000000009</v>
      </c>
    </row>
    <row r="768" spans="1:8" x14ac:dyDescent="0.25">
      <c r="A768" s="23" t="s">
        <v>1094</v>
      </c>
      <c r="B768" s="24" t="s">
        <v>1095</v>
      </c>
      <c r="C768" s="25" t="s">
        <v>1096</v>
      </c>
      <c r="D768" s="80" t="s">
        <v>60</v>
      </c>
      <c r="E768" s="42">
        <v>2E-3</v>
      </c>
      <c r="F768" s="42">
        <v>5.8999999999999998E-5</v>
      </c>
      <c r="G768" s="32">
        <v>1500000</v>
      </c>
      <c r="H768" s="33">
        <f t="shared" si="73"/>
        <v>88.5</v>
      </c>
    </row>
    <row r="769" spans="1:8" ht="22.5" x14ac:dyDescent="0.25">
      <c r="A769" s="23" t="s">
        <v>1097</v>
      </c>
      <c r="B769" s="24" t="s">
        <v>1098</v>
      </c>
      <c r="C769" s="25" t="s">
        <v>1099</v>
      </c>
      <c r="D769" s="80" t="s">
        <v>60</v>
      </c>
      <c r="E769" s="42">
        <v>0.57199999999999995</v>
      </c>
      <c r="F769" s="42">
        <v>1.6760000000000001E-2</v>
      </c>
      <c r="G769" s="32">
        <v>1500000</v>
      </c>
      <c r="H769" s="33">
        <f t="shared" si="73"/>
        <v>25140</v>
      </c>
    </row>
    <row r="770" spans="1:8" x14ac:dyDescent="0.25">
      <c r="A770" s="23" t="s">
        <v>1100</v>
      </c>
      <c r="B770" s="24" t="s">
        <v>1101</v>
      </c>
      <c r="C770" s="25" t="s">
        <v>1102</v>
      </c>
      <c r="D770" s="80" t="s">
        <v>524</v>
      </c>
      <c r="E770" s="42">
        <v>342.8</v>
      </c>
      <c r="F770" s="42">
        <v>10.044</v>
      </c>
      <c r="G770" s="32">
        <v>25000</v>
      </c>
      <c r="H770" s="33">
        <f t="shared" si="73"/>
        <v>251100</v>
      </c>
    </row>
    <row r="771" spans="1:8" ht="67.5" x14ac:dyDescent="0.25">
      <c r="A771" s="23" t="s">
        <v>1103</v>
      </c>
      <c r="B771" s="24" t="s">
        <v>1104</v>
      </c>
      <c r="C771" s="25" t="s">
        <v>1105</v>
      </c>
      <c r="D771" s="80" t="s">
        <v>60</v>
      </c>
      <c r="E771" s="42">
        <v>0.86</v>
      </c>
      <c r="F771" s="42">
        <v>2.5198000000000002E-2</v>
      </c>
      <c r="G771" s="32">
        <v>8500000</v>
      </c>
      <c r="H771" s="33">
        <f t="shared" si="73"/>
        <v>214183</v>
      </c>
    </row>
    <row r="772" spans="1:8" ht="22.5" x14ac:dyDescent="0.25">
      <c r="A772" s="23" t="s">
        <v>1106</v>
      </c>
      <c r="B772" s="24" t="s">
        <v>1107</v>
      </c>
      <c r="C772" s="25" t="s">
        <v>1108</v>
      </c>
      <c r="D772" s="80" t="s">
        <v>60</v>
      </c>
      <c r="E772" s="42">
        <v>5.0999999999999997E-2</v>
      </c>
      <c r="F772" s="42">
        <v>1.4940000000000001E-3</v>
      </c>
      <c r="G772" s="32">
        <v>2500000</v>
      </c>
      <c r="H772" s="33">
        <f t="shared" si="73"/>
        <v>3735.0000000000005</v>
      </c>
    </row>
    <row r="773" spans="1:8" x14ac:dyDescent="0.25">
      <c r="A773" s="23" t="s">
        <v>1109</v>
      </c>
      <c r="B773" s="24" t="s">
        <v>1110</v>
      </c>
      <c r="C773" s="25" t="s">
        <v>405</v>
      </c>
      <c r="D773" s="80" t="s">
        <v>60</v>
      </c>
      <c r="E773" s="42">
        <v>4.7E-2</v>
      </c>
      <c r="F773" s="42">
        <v>1.377E-3</v>
      </c>
      <c r="G773" s="33">
        <f>+G594</f>
        <v>22500000</v>
      </c>
      <c r="H773" s="33">
        <f t="shared" si="73"/>
        <v>30982.5</v>
      </c>
    </row>
    <row r="774" spans="1:8" ht="33.75" x14ac:dyDescent="0.25">
      <c r="A774" s="23" t="s">
        <v>1111</v>
      </c>
      <c r="B774" s="24" t="s">
        <v>1112</v>
      </c>
      <c r="C774" s="25" t="s">
        <v>1113</v>
      </c>
      <c r="D774" s="80" t="s">
        <v>54</v>
      </c>
      <c r="E774" s="42">
        <v>0.13</v>
      </c>
      <c r="F774" s="42">
        <v>3.8089999999999999E-3</v>
      </c>
      <c r="G774" s="33">
        <f>+G741</f>
        <v>2350000</v>
      </c>
      <c r="H774" s="33">
        <f t="shared" si="73"/>
        <v>8951.15</v>
      </c>
    </row>
    <row r="775" spans="1:8" x14ac:dyDescent="0.25">
      <c r="A775" s="23" t="s">
        <v>1114</v>
      </c>
      <c r="B775" s="24" t="s">
        <v>1115</v>
      </c>
      <c r="C775" s="25" t="s">
        <v>1116</v>
      </c>
      <c r="D775" s="80" t="s">
        <v>60</v>
      </c>
      <c r="E775" s="42">
        <v>5.0999999999999997E-2</v>
      </c>
      <c r="F775" s="42">
        <v>1.4940000000000001E-3</v>
      </c>
      <c r="G775" s="32">
        <v>14000000</v>
      </c>
      <c r="H775" s="33">
        <f t="shared" si="73"/>
        <v>20916</v>
      </c>
    </row>
    <row r="776" spans="1:8" ht="31.5" x14ac:dyDescent="0.25">
      <c r="A776" s="15" t="s">
        <v>439</v>
      </c>
      <c r="B776" s="16" t="s">
        <v>1117</v>
      </c>
      <c r="C776" s="16" t="s">
        <v>1118</v>
      </c>
      <c r="D776" s="77" t="s">
        <v>164</v>
      </c>
      <c r="E776" s="125">
        <v>16</v>
      </c>
      <c r="F776" s="125"/>
      <c r="G776" s="32">
        <v>874392</v>
      </c>
      <c r="H776" s="33">
        <f>+G776*E776</f>
        <v>13990272</v>
      </c>
    </row>
    <row r="777" spans="1:8" ht="21" x14ac:dyDescent="0.25">
      <c r="A777" s="15" t="s">
        <v>460</v>
      </c>
      <c r="B777" s="16" t="s">
        <v>1119</v>
      </c>
      <c r="C777" s="16" t="s">
        <v>1120</v>
      </c>
      <c r="D777" s="77" t="s">
        <v>107</v>
      </c>
      <c r="E777" s="125">
        <v>0.1104</v>
      </c>
      <c r="F777" s="125"/>
      <c r="G777" s="33"/>
      <c r="H777" s="33"/>
    </row>
    <row r="778" spans="1:8" x14ac:dyDescent="0.25">
      <c r="A778" s="17" t="s">
        <v>1121</v>
      </c>
      <c r="B778" s="18" t="s">
        <v>8</v>
      </c>
      <c r="C778" s="19" t="s">
        <v>35</v>
      </c>
      <c r="D778" s="78" t="s">
        <v>858</v>
      </c>
      <c r="E778" s="40">
        <v>238.56</v>
      </c>
      <c r="F778" s="40">
        <v>26.337</v>
      </c>
      <c r="G778" s="33">
        <f>+G762</f>
        <v>26500</v>
      </c>
      <c r="H778" s="33">
        <f t="shared" ref="H778:H788" si="74">G778*F778</f>
        <v>697930.5</v>
      </c>
    </row>
    <row r="779" spans="1:8" x14ac:dyDescent="0.25">
      <c r="A779" s="17" t="s">
        <v>1122</v>
      </c>
      <c r="B779" s="18" t="s">
        <v>30</v>
      </c>
      <c r="C779" s="19" t="s">
        <v>15</v>
      </c>
      <c r="D779" s="78" t="s">
        <v>858</v>
      </c>
      <c r="E779" s="40">
        <v>69.930000000000007</v>
      </c>
      <c r="F779" s="40">
        <v>7.7202999999999999</v>
      </c>
      <c r="G779" s="33">
        <f>+G763</f>
        <v>0</v>
      </c>
      <c r="H779" s="33">
        <f t="shared" si="74"/>
        <v>0</v>
      </c>
    </row>
    <row r="780" spans="1:8" ht="33.75" x14ac:dyDescent="0.25">
      <c r="A780" s="20" t="s">
        <v>1123</v>
      </c>
      <c r="B780" s="21" t="s">
        <v>1124</v>
      </c>
      <c r="C780" s="22" t="s">
        <v>1125</v>
      </c>
      <c r="D780" s="79" t="s">
        <v>861</v>
      </c>
      <c r="E780" s="41">
        <v>27.2</v>
      </c>
      <c r="F780" s="41">
        <v>3.0028999999999999</v>
      </c>
      <c r="G780" s="33">
        <f>+G533</f>
        <v>11500</v>
      </c>
      <c r="H780" s="33">
        <f t="shared" si="74"/>
        <v>34533.35</v>
      </c>
    </row>
    <row r="781" spans="1:8" ht="33.75" x14ac:dyDescent="0.25">
      <c r="A781" s="20" t="s">
        <v>1126</v>
      </c>
      <c r="B781" s="21" t="s">
        <v>925</v>
      </c>
      <c r="C781" s="22" t="s">
        <v>319</v>
      </c>
      <c r="D781" s="79" t="s">
        <v>861</v>
      </c>
      <c r="E781" s="41">
        <v>64.06</v>
      </c>
      <c r="F781" s="41">
        <v>7.0721999999999996</v>
      </c>
      <c r="G781" s="33">
        <f>+G693</f>
        <v>113021</v>
      </c>
      <c r="H781" s="33">
        <f t="shared" si="74"/>
        <v>799307.11619999993</v>
      </c>
    </row>
    <row r="782" spans="1:8" ht="22.5" x14ac:dyDescent="0.25">
      <c r="A782" s="20" t="s">
        <v>1127</v>
      </c>
      <c r="B782" s="21" t="s">
        <v>883</v>
      </c>
      <c r="C782" s="22" t="s">
        <v>190</v>
      </c>
      <c r="D782" s="79" t="s">
        <v>861</v>
      </c>
      <c r="E782" s="41">
        <v>5.87</v>
      </c>
      <c r="F782" s="41">
        <v>0.64804799999999996</v>
      </c>
      <c r="G782" s="33">
        <f>+G766</f>
        <v>35000</v>
      </c>
      <c r="H782" s="33">
        <f t="shared" si="74"/>
        <v>22681.68</v>
      </c>
    </row>
    <row r="783" spans="1:8" x14ac:dyDescent="0.25">
      <c r="A783" s="20" t="s">
        <v>1128</v>
      </c>
      <c r="B783" s="21" t="s">
        <v>950</v>
      </c>
      <c r="C783" s="22" t="s">
        <v>951</v>
      </c>
      <c r="D783" s="79" t="s">
        <v>861</v>
      </c>
      <c r="E783" s="41">
        <v>12.36</v>
      </c>
      <c r="F783" s="41">
        <v>1.3645</v>
      </c>
      <c r="G783" s="33">
        <f>+G651</f>
        <v>25000</v>
      </c>
      <c r="H783" s="33">
        <f t="shared" si="74"/>
        <v>34112.5</v>
      </c>
    </row>
    <row r="784" spans="1:8" x14ac:dyDescent="0.25">
      <c r="A784" s="23" t="s">
        <v>1129</v>
      </c>
      <c r="B784" s="24" t="s">
        <v>1062</v>
      </c>
      <c r="C784" s="25" t="s">
        <v>194</v>
      </c>
      <c r="D784" s="80" t="s">
        <v>54</v>
      </c>
      <c r="E784" s="42">
        <v>0.41</v>
      </c>
      <c r="F784" s="42">
        <v>4.5263999999999999E-2</v>
      </c>
      <c r="G784" s="33">
        <f>+G751</f>
        <v>0</v>
      </c>
      <c r="H784" s="33">
        <f t="shared" si="74"/>
        <v>0</v>
      </c>
    </row>
    <row r="785" spans="1:8" ht="22.5" x14ac:dyDescent="0.25">
      <c r="A785" s="23" t="s">
        <v>1130</v>
      </c>
      <c r="B785" s="24" t="s">
        <v>1131</v>
      </c>
      <c r="C785" s="25" t="s">
        <v>1132</v>
      </c>
      <c r="D785" s="80" t="s">
        <v>54</v>
      </c>
      <c r="E785" s="42">
        <v>0.67</v>
      </c>
      <c r="F785" s="42">
        <v>7.3968000000000006E-2</v>
      </c>
      <c r="G785" s="32">
        <v>0</v>
      </c>
      <c r="H785" s="33">
        <f t="shared" si="74"/>
        <v>0</v>
      </c>
    </row>
    <row r="786" spans="1:8" x14ac:dyDescent="0.25">
      <c r="A786" s="23" t="s">
        <v>1133</v>
      </c>
      <c r="B786" s="24" t="s">
        <v>952</v>
      </c>
      <c r="C786" s="25" t="s">
        <v>953</v>
      </c>
      <c r="D786" s="80" t="s">
        <v>54</v>
      </c>
      <c r="E786" s="42">
        <v>53.8</v>
      </c>
      <c r="F786" s="42">
        <v>5.9394999999999998</v>
      </c>
      <c r="G786" s="33">
        <f>+G652</f>
        <v>500</v>
      </c>
      <c r="H786" s="33">
        <f t="shared" si="74"/>
        <v>2969.75</v>
      </c>
    </row>
    <row r="787" spans="1:8" x14ac:dyDescent="0.25">
      <c r="A787" s="23" t="s">
        <v>1134</v>
      </c>
      <c r="B787" s="24" t="s">
        <v>1110</v>
      </c>
      <c r="C787" s="25" t="s">
        <v>405</v>
      </c>
      <c r="D787" s="80" t="s">
        <v>60</v>
      </c>
      <c r="E787" s="42">
        <v>7.0000000000000007E-2</v>
      </c>
      <c r="F787" s="42">
        <v>7.7279999999999996E-3</v>
      </c>
      <c r="G787" s="33">
        <f>+G773</f>
        <v>22500000</v>
      </c>
      <c r="H787" s="33">
        <f t="shared" si="74"/>
        <v>173880</v>
      </c>
    </row>
    <row r="788" spans="1:8" x14ac:dyDescent="0.25">
      <c r="A788" s="23" t="s">
        <v>1135</v>
      </c>
      <c r="B788" s="24" t="s">
        <v>1136</v>
      </c>
      <c r="C788" s="25" t="s">
        <v>1137</v>
      </c>
      <c r="D788" s="80" t="s">
        <v>524</v>
      </c>
      <c r="E788" s="42">
        <v>1.1299999999999999</v>
      </c>
      <c r="F788" s="42">
        <v>0.124752</v>
      </c>
      <c r="G788" s="32">
        <v>560</v>
      </c>
      <c r="H788" s="33">
        <f t="shared" si="74"/>
        <v>69.86112</v>
      </c>
    </row>
    <row r="789" spans="1:8" ht="31.5" x14ac:dyDescent="0.25">
      <c r="A789" s="15" t="s">
        <v>464</v>
      </c>
      <c r="B789" s="16" t="s">
        <v>1138</v>
      </c>
      <c r="C789" s="16" t="s">
        <v>1139</v>
      </c>
      <c r="D789" s="77" t="s">
        <v>164</v>
      </c>
      <c r="E789" s="125">
        <v>16</v>
      </c>
      <c r="F789" s="125"/>
      <c r="G789" s="32">
        <v>2409686</v>
      </c>
      <c r="H789" s="33">
        <f>+G789*E789</f>
        <v>38554976</v>
      </c>
    </row>
    <row r="790" spans="1:8" ht="31.5" x14ac:dyDescent="0.25">
      <c r="A790" s="15" t="s">
        <v>482</v>
      </c>
      <c r="B790" s="16" t="s">
        <v>1049</v>
      </c>
      <c r="C790" s="16" t="s">
        <v>1140</v>
      </c>
      <c r="D790" s="77" t="s">
        <v>54</v>
      </c>
      <c r="E790" s="125">
        <v>1.06</v>
      </c>
      <c r="F790" s="125"/>
      <c r="G790" s="33"/>
      <c r="H790" s="33"/>
    </row>
    <row r="791" spans="1:8" x14ac:dyDescent="0.25">
      <c r="A791" s="17" t="s">
        <v>486</v>
      </c>
      <c r="B791" s="18" t="s">
        <v>8</v>
      </c>
      <c r="C791" s="19" t="s">
        <v>35</v>
      </c>
      <c r="D791" s="78" t="s">
        <v>858</v>
      </c>
      <c r="E791" s="40">
        <v>22.94</v>
      </c>
      <c r="F791" s="40">
        <v>24.316400000000002</v>
      </c>
      <c r="G791" s="33">
        <f>+G778</f>
        <v>26500</v>
      </c>
      <c r="H791" s="33">
        <f t="shared" ref="H791:H806" si="75">G791*F791</f>
        <v>644384.60000000009</v>
      </c>
    </row>
    <row r="792" spans="1:8" x14ac:dyDescent="0.25">
      <c r="A792" s="17" t="s">
        <v>489</v>
      </c>
      <c r="B792" s="18" t="s">
        <v>30</v>
      </c>
      <c r="C792" s="19" t="s">
        <v>15</v>
      </c>
      <c r="D792" s="78" t="s">
        <v>858</v>
      </c>
      <c r="E792" s="40">
        <v>0.28999999999999998</v>
      </c>
      <c r="F792" s="40">
        <v>0.30740000000000001</v>
      </c>
      <c r="G792" s="33">
        <f>+G779</f>
        <v>0</v>
      </c>
      <c r="H792" s="33">
        <f t="shared" si="75"/>
        <v>0</v>
      </c>
    </row>
    <row r="793" spans="1:8" ht="33.75" x14ac:dyDescent="0.25">
      <c r="A793" s="20" t="s">
        <v>492</v>
      </c>
      <c r="B793" s="21" t="s">
        <v>875</v>
      </c>
      <c r="C793" s="22" t="s">
        <v>314</v>
      </c>
      <c r="D793" s="79" t="s">
        <v>861</v>
      </c>
      <c r="E793" s="41">
        <v>0.12</v>
      </c>
      <c r="F793" s="41">
        <v>0.12720000000000001</v>
      </c>
      <c r="G793" s="33">
        <f>+G764</f>
        <v>113021</v>
      </c>
      <c r="H793" s="33">
        <f t="shared" si="75"/>
        <v>14376.271200000001</v>
      </c>
    </row>
    <row r="794" spans="1:8" x14ac:dyDescent="0.25">
      <c r="A794" s="20" t="s">
        <v>495</v>
      </c>
      <c r="B794" s="21" t="s">
        <v>1055</v>
      </c>
      <c r="C794" s="22" t="s">
        <v>1056</v>
      </c>
      <c r="D794" s="79" t="s">
        <v>861</v>
      </c>
      <c r="E794" s="41">
        <v>1.92</v>
      </c>
      <c r="F794" s="41">
        <v>2.0352000000000001</v>
      </c>
      <c r="G794" s="33">
        <f>+G748</f>
        <v>25000</v>
      </c>
      <c r="H794" s="33">
        <f t="shared" si="75"/>
        <v>50880</v>
      </c>
    </row>
    <row r="795" spans="1:8" ht="22.5" x14ac:dyDescent="0.25">
      <c r="A795" s="20" t="s">
        <v>500</v>
      </c>
      <c r="B795" s="21" t="s">
        <v>966</v>
      </c>
      <c r="C795" s="22" t="s">
        <v>190</v>
      </c>
      <c r="D795" s="79" t="s">
        <v>861</v>
      </c>
      <c r="E795" s="41">
        <v>0.17</v>
      </c>
      <c r="F795" s="41">
        <v>0.1802</v>
      </c>
      <c r="G795" s="33">
        <f>+G782</f>
        <v>35000</v>
      </c>
      <c r="H795" s="33">
        <f t="shared" si="75"/>
        <v>6307</v>
      </c>
    </row>
    <row r="796" spans="1:8" ht="22.5" x14ac:dyDescent="0.25">
      <c r="A796" s="20" t="s">
        <v>503</v>
      </c>
      <c r="B796" s="21" t="s">
        <v>1059</v>
      </c>
      <c r="C796" s="22" t="s">
        <v>1060</v>
      </c>
      <c r="D796" s="79" t="s">
        <v>861</v>
      </c>
      <c r="E796" s="41">
        <v>0.21</v>
      </c>
      <c r="F796" s="41">
        <v>0.22259999999999999</v>
      </c>
      <c r="G796" s="33">
        <f>+G750</f>
        <v>500</v>
      </c>
      <c r="H796" s="33">
        <f t="shared" si="75"/>
        <v>111.3</v>
      </c>
    </row>
    <row r="797" spans="1:8" ht="22.5" x14ac:dyDescent="0.25">
      <c r="A797" s="23" t="s">
        <v>506</v>
      </c>
      <c r="B797" s="24" t="s">
        <v>885</v>
      </c>
      <c r="C797" s="25" t="s">
        <v>886</v>
      </c>
      <c r="D797" s="80" t="s">
        <v>54</v>
      </c>
      <c r="E797" s="42">
        <v>1.02</v>
      </c>
      <c r="F797" s="42">
        <v>1.0811999999999999</v>
      </c>
      <c r="G797" s="33">
        <f>+G676</f>
        <v>466043</v>
      </c>
      <c r="H797" s="33">
        <f t="shared" si="75"/>
        <v>503885.69159999996</v>
      </c>
    </row>
    <row r="798" spans="1:8" x14ac:dyDescent="0.25">
      <c r="A798" s="23" t="s">
        <v>1141</v>
      </c>
      <c r="B798" s="24" t="s">
        <v>1062</v>
      </c>
      <c r="C798" s="25" t="s">
        <v>194</v>
      </c>
      <c r="D798" s="80" t="s">
        <v>54</v>
      </c>
      <c r="E798" s="42">
        <v>7.0000000000000001E-3</v>
      </c>
      <c r="F798" s="42">
        <v>7.4200000000000004E-3</v>
      </c>
      <c r="G798" s="33">
        <f>+G784</f>
        <v>0</v>
      </c>
      <c r="H798" s="33">
        <f t="shared" si="75"/>
        <v>0</v>
      </c>
    </row>
    <row r="799" spans="1:8" ht="22.5" x14ac:dyDescent="0.25">
      <c r="A799" s="23" t="s">
        <v>1142</v>
      </c>
      <c r="B799" s="24" t="s">
        <v>1064</v>
      </c>
      <c r="C799" s="25" t="s">
        <v>1065</v>
      </c>
      <c r="D799" s="80" t="s">
        <v>54</v>
      </c>
      <c r="E799" s="42">
        <v>0.08</v>
      </c>
      <c r="F799" s="42">
        <v>8.48E-2</v>
      </c>
      <c r="G799" s="33">
        <f>+G752</f>
        <v>0</v>
      </c>
      <c r="H799" s="33">
        <f t="shared" si="75"/>
        <v>0</v>
      </c>
    </row>
    <row r="800" spans="1:8" x14ac:dyDescent="0.25">
      <c r="A800" s="23" t="s">
        <v>1143</v>
      </c>
      <c r="B800" s="24" t="s">
        <v>890</v>
      </c>
      <c r="C800" s="25" t="s">
        <v>250</v>
      </c>
      <c r="D800" s="80" t="s">
        <v>60</v>
      </c>
      <c r="E800" s="42">
        <v>2.8E-3</v>
      </c>
      <c r="F800" s="42">
        <v>2.9680000000000002E-3</v>
      </c>
      <c r="G800" s="33">
        <f t="shared" ref="G800:G806" si="76">+G754</f>
        <v>11500000</v>
      </c>
      <c r="H800" s="33">
        <f t="shared" si="75"/>
        <v>34132</v>
      </c>
    </row>
    <row r="801" spans="1:8" ht="22.5" x14ac:dyDescent="0.25">
      <c r="A801" s="23" t="s">
        <v>1144</v>
      </c>
      <c r="B801" s="24" t="s">
        <v>1071</v>
      </c>
      <c r="C801" s="25" t="s">
        <v>1072</v>
      </c>
      <c r="D801" s="80" t="s">
        <v>60</v>
      </c>
      <c r="E801" s="42">
        <v>2.3999999999999998E-3</v>
      </c>
      <c r="F801" s="42">
        <v>2.5439999999999998E-3</v>
      </c>
      <c r="G801" s="33">
        <f t="shared" si="76"/>
        <v>3000000</v>
      </c>
      <c r="H801" s="33">
        <f t="shared" si="75"/>
        <v>7631.9999999999991</v>
      </c>
    </row>
    <row r="802" spans="1:8" ht="22.5" x14ac:dyDescent="0.25">
      <c r="A802" s="23" t="s">
        <v>1145</v>
      </c>
      <c r="B802" s="24" t="s">
        <v>1074</v>
      </c>
      <c r="C802" s="25" t="s">
        <v>1075</v>
      </c>
      <c r="D802" s="80" t="s">
        <v>60</v>
      </c>
      <c r="E802" s="42">
        <v>3.0000000000000001E-3</v>
      </c>
      <c r="F802" s="42">
        <v>3.1800000000000001E-3</v>
      </c>
      <c r="G802" s="33">
        <f t="shared" si="76"/>
        <v>3500000</v>
      </c>
      <c r="H802" s="33">
        <f t="shared" si="75"/>
        <v>11130</v>
      </c>
    </row>
    <row r="803" spans="1:8" ht="33.75" x14ac:dyDescent="0.25">
      <c r="A803" s="23" t="s">
        <v>1146</v>
      </c>
      <c r="B803" s="24" t="s">
        <v>904</v>
      </c>
      <c r="C803" s="25" t="s">
        <v>905</v>
      </c>
      <c r="D803" s="80" t="s">
        <v>54</v>
      </c>
      <c r="E803" s="42">
        <v>0.1</v>
      </c>
      <c r="F803" s="42">
        <v>0.106</v>
      </c>
      <c r="G803" s="33">
        <f t="shared" si="76"/>
        <v>2350000</v>
      </c>
      <c r="H803" s="33">
        <f t="shared" si="75"/>
        <v>249100</v>
      </c>
    </row>
    <row r="804" spans="1:8" ht="33.75" x14ac:dyDescent="0.25">
      <c r="A804" s="23" t="s">
        <v>1147</v>
      </c>
      <c r="B804" s="24" t="s">
        <v>1078</v>
      </c>
      <c r="C804" s="25" t="s">
        <v>1079</v>
      </c>
      <c r="D804" s="80" t="s">
        <v>54</v>
      </c>
      <c r="E804" s="42">
        <v>7.0000000000000007E-2</v>
      </c>
      <c r="F804" s="42">
        <v>7.4200000000000002E-2</v>
      </c>
      <c r="G804" s="33">
        <f t="shared" si="76"/>
        <v>2350000</v>
      </c>
      <c r="H804" s="33">
        <f t="shared" si="75"/>
        <v>174370</v>
      </c>
    </row>
    <row r="805" spans="1:8" x14ac:dyDescent="0.25">
      <c r="A805" s="23" t="s">
        <v>1148</v>
      </c>
      <c r="B805" s="24" t="s">
        <v>1081</v>
      </c>
      <c r="C805" s="25" t="s">
        <v>1082</v>
      </c>
      <c r="D805" s="80" t="s">
        <v>164</v>
      </c>
      <c r="E805" s="42">
        <v>2</v>
      </c>
      <c r="F805" s="42">
        <v>2.12</v>
      </c>
      <c r="G805" s="33">
        <f t="shared" si="76"/>
        <v>15000</v>
      </c>
      <c r="H805" s="33">
        <f t="shared" si="75"/>
        <v>31800</v>
      </c>
    </row>
    <row r="806" spans="1:8" x14ac:dyDescent="0.25">
      <c r="A806" s="23" t="s">
        <v>1149</v>
      </c>
      <c r="B806" s="24" t="s">
        <v>1084</v>
      </c>
      <c r="C806" s="25" t="s">
        <v>366</v>
      </c>
      <c r="D806" s="80" t="s">
        <v>367</v>
      </c>
      <c r="E806" s="42">
        <v>3</v>
      </c>
      <c r="F806" s="42">
        <v>3.18</v>
      </c>
      <c r="G806" s="33">
        <f t="shared" si="76"/>
        <v>23000</v>
      </c>
      <c r="H806" s="33">
        <f t="shared" si="75"/>
        <v>73140</v>
      </c>
    </row>
    <row r="807" spans="1:8" ht="31.5" x14ac:dyDescent="0.25">
      <c r="A807" s="15" t="s">
        <v>509</v>
      </c>
      <c r="B807" s="16" t="s">
        <v>914</v>
      </c>
      <c r="C807" s="16" t="s">
        <v>915</v>
      </c>
      <c r="D807" s="77" t="s">
        <v>60</v>
      </c>
      <c r="E807" s="125">
        <v>8.5999999999999993E-2</v>
      </c>
      <c r="F807" s="125"/>
      <c r="G807" s="33">
        <f>+G630</f>
        <v>8550300</v>
      </c>
      <c r="H807" s="33">
        <f>+G807*E807</f>
        <v>735325.79999999993</v>
      </c>
    </row>
    <row r="808" spans="1:8" ht="31.5" x14ac:dyDescent="0.25">
      <c r="A808" s="15" t="s">
        <v>527</v>
      </c>
      <c r="B808" s="16" t="s">
        <v>1049</v>
      </c>
      <c r="C808" s="16" t="s">
        <v>1150</v>
      </c>
      <c r="D808" s="77" t="s">
        <v>54</v>
      </c>
      <c r="E808" s="125">
        <v>1.35</v>
      </c>
      <c r="F808" s="125"/>
      <c r="G808" s="33"/>
      <c r="H808" s="33"/>
    </row>
    <row r="809" spans="1:8" x14ac:dyDescent="0.25">
      <c r="A809" s="17" t="s">
        <v>532</v>
      </c>
      <c r="B809" s="18" t="s">
        <v>8</v>
      </c>
      <c r="C809" s="19" t="s">
        <v>35</v>
      </c>
      <c r="D809" s="78" t="s">
        <v>858</v>
      </c>
      <c r="E809" s="40">
        <v>22.94</v>
      </c>
      <c r="F809" s="40">
        <v>30.969000000000001</v>
      </c>
      <c r="G809" s="33">
        <f t="shared" ref="G809:G824" si="77">+G791</f>
        <v>26500</v>
      </c>
      <c r="H809" s="33">
        <f t="shared" ref="H809:H824" si="78">G809*F809</f>
        <v>820678.5</v>
      </c>
    </row>
    <row r="810" spans="1:8" x14ac:dyDescent="0.25">
      <c r="A810" s="17" t="s">
        <v>535</v>
      </c>
      <c r="B810" s="18" t="s">
        <v>30</v>
      </c>
      <c r="C810" s="19" t="s">
        <v>15</v>
      </c>
      <c r="D810" s="78" t="s">
        <v>858</v>
      </c>
      <c r="E810" s="40">
        <v>0.28999999999999998</v>
      </c>
      <c r="F810" s="40">
        <v>0.39150000000000001</v>
      </c>
      <c r="G810" s="33">
        <f t="shared" si="77"/>
        <v>0</v>
      </c>
      <c r="H810" s="33">
        <f t="shared" si="78"/>
        <v>0</v>
      </c>
    </row>
    <row r="811" spans="1:8" ht="33.75" x14ac:dyDescent="0.25">
      <c r="A811" s="20" t="s">
        <v>538</v>
      </c>
      <c r="B811" s="21" t="s">
        <v>875</v>
      </c>
      <c r="C811" s="22" t="s">
        <v>314</v>
      </c>
      <c r="D811" s="79" t="s">
        <v>861</v>
      </c>
      <c r="E811" s="41">
        <v>0.12</v>
      </c>
      <c r="F811" s="41">
        <v>0.16200000000000001</v>
      </c>
      <c r="G811" s="33">
        <f t="shared" si="77"/>
        <v>113021</v>
      </c>
      <c r="H811" s="33">
        <f t="shared" si="78"/>
        <v>18309.402000000002</v>
      </c>
    </row>
    <row r="812" spans="1:8" x14ac:dyDescent="0.25">
      <c r="A812" s="20" t="s">
        <v>543</v>
      </c>
      <c r="B812" s="21" t="s">
        <v>1055</v>
      </c>
      <c r="C812" s="22" t="s">
        <v>1056</v>
      </c>
      <c r="D812" s="79" t="s">
        <v>861</v>
      </c>
      <c r="E812" s="41">
        <v>1.92</v>
      </c>
      <c r="F812" s="41">
        <v>2.5920000000000001</v>
      </c>
      <c r="G812" s="33">
        <f t="shared" si="77"/>
        <v>25000</v>
      </c>
      <c r="H812" s="33">
        <f t="shared" si="78"/>
        <v>64800</v>
      </c>
    </row>
    <row r="813" spans="1:8" ht="22.5" x14ac:dyDescent="0.25">
      <c r="A813" s="20" t="s">
        <v>548</v>
      </c>
      <c r="B813" s="21" t="s">
        <v>966</v>
      </c>
      <c r="C813" s="22" t="s">
        <v>190</v>
      </c>
      <c r="D813" s="79" t="s">
        <v>861</v>
      </c>
      <c r="E813" s="41">
        <v>0.17</v>
      </c>
      <c r="F813" s="41">
        <v>0.22950000000000001</v>
      </c>
      <c r="G813" s="33">
        <f t="shared" si="77"/>
        <v>35000</v>
      </c>
      <c r="H813" s="33">
        <f t="shared" si="78"/>
        <v>8032.5</v>
      </c>
    </row>
    <row r="814" spans="1:8" ht="22.5" x14ac:dyDescent="0.25">
      <c r="A814" s="20" t="s">
        <v>553</v>
      </c>
      <c r="B814" s="21" t="s">
        <v>1059</v>
      </c>
      <c r="C814" s="22" t="s">
        <v>1060</v>
      </c>
      <c r="D814" s="79" t="s">
        <v>861</v>
      </c>
      <c r="E814" s="41">
        <v>0.21</v>
      </c>
      <c r="F814" s="41">
        <v>0.28349999999999997</v>
      </c>
      <c r="G814" s="33">
        <f t="shared" si="77"/>
        <v>500</v>
      </c>
      <c r="H814" s="33">
        <f t="shared" si="78"/>
        <v>141.75</v>
      </c>
    </row>
    <row r="815" spans="1:8" ht="22.5" x14ac:dyDescent="0.25">
      <c r="A815" s="23" t="s">
        <v>556</v>
      </c>
      <c r="B815" s="24" t="s">
        <v>885</v>
      </c>
      <c r="C815" s="25" t="s">
        <v>886</v>
      </c>
      <c r="D815" s="80" t="s">
        <v>54</v>
      </c>
      <c r="E815" s="42">
        <v>1.02</v>
      </c>
      <c r="F815" s="42">
        <v>1.377</v>
      </c>
      <c r="G815" s="33">
        <f t="shared" si="77"/>
        <v>466043</v>
      </c>
      <c r="H815" s="33">
        <f t="shared" si="78"/>
        <v>641741.21100000001</v>
      </c>
    </row>
    <row r="816" spans="1:8" x14ac:dyDescent="0.25">
      <c r="A816" s="23" t="s">
        <v>561</v>
      </c>
      <c r="B816" s="24" t="s">
        <v>1062</v>
      </c>
      <c r="C816" s="25" t="s">
        <v>194</v>
      </c>
      <c r="D816" s="80" t="s">
        <v>54</v>
      </c>
      <c r="E816" s="42">
        <v>7.0000000000000001E-3</v>
      </c>
      <c r="F816" s="42">
        <v>9.4500000000000001E-3</v>
      </c>
      <c r="G816" s="33">
        <f t="shared" si="77"/>
        <v>0</v>
      </c>
      <c r="H816" s="33">
        <f t="shared" si="78"/>
        <v>0</v>
      </c>
    </row>
    <row r="817" spans="1:8" ht="22.5" x14ac:dyDescent="0.25">
      <c r="A817" s="23" t="s">
        <v>1151</v>
      </c>
      <c r="B817" s="24" t="s">
        <v>1064</v>
      </c>
      <c r="C817" s="25" t="s">
        <v>1065</v>
      </c>
      <c r="D817" s="80" t="s">
        <v>54</v>
      </c>
      <c r="E817" s="42">
        <v>0.08</v>
      </c>
      <c r="F817" s="42">
        <v>0.108</v>
      </c>
      <c r="G817" s="33">
        <f t="shared" si="77"/>
        <v>0</v>
      </c>
      <c r="H817" s="33">
        <f t="shared" si="78"/>
        <v>0</v>
      </c>
    </row>
    <row r="818" spans="1:8" x14ac:dyDescent="0.25">
      <c r="A818" s="23" t="s">
        <v>1152</v>
      </c>
      <c r="B818" s="24" t="s">
        <v>890</v>
      </c>
      <c r="C818" s="25" t="s">
        <v>250</v>
      </c>
      <c r="D818" s="80" t="s">
        <v>60</v>
      </c>
      <c r="E818" s="42">
        <v>2.8E-3</v>
      </c>
      <c r="F818" s="42">
        <v>3.7799999999999999E-3</v>
      </c>
      <c r="G818" s="33">
        <f t="shared" si="77"/>
        <v>11500000</v>
      </c>
      <c r="H818" s="33">
        <f t="shared" si="78"/>
        <v>43470</v>
      </c>
    </row>
    <row r="819" spans="1:8" ht="22.5" x14ac:dyDescent="0.25">
      <c r="A819" s="23" t="s">
        <v>1153</v>
      </c>
      <c r="B819" s="24" t="s">
        <v>1071</v>
      </c>
      <c r="C819" s="25" t="s">
        <v>1072</v>
      </c>
      <c r="D819" s="80" t="s">
        <v>60</v>
      </c>
      <c r="E819" s="42">
        <v>2.3999999999999998E-3</v>
      </c>
      <c r="F819" s="42">
        <v>3.2399999999999998E-3</v>
      </c>
      <c r="G819" s="33">
        <f t="shared" si="77"/>
        <v>3000000</v>
      </c>
      <c r="H819" s="33">
        <f t="shared" si="78"/>
        <v>9720</v>
      </c>
    </row>
    <row r="820" spans="1:8" ht="22.5" x14ac:dyDescent="0.25">
      <c r="A820" s="23" t="s">
        <v>1154</v>
      </c>
      <c r="B820" s="24" t="s">
        <v>1074</v>
      </c>
      <c r="C820" s="25" t="s">
        <v>1075</v>
      </c>
      <c r="D820" s="80" t="s">
        <v>60</v>
      </c>
      <c r="E820" s="42">
        <v>3.0000000000000001E-3</v>
      </c>
      <c r="F820" s="42">
        <v>4.0499999999999998E-3</v>
      </c>
      <c r="G820" s="33">
        <f t="shared" si="77"/>
        <v>3500000</v>
      </c>
      <c r="H820" s="33">
        <f t="shared" si="78"/>
        <v>14175</v>
      </c>
    </row>
    <row r="821" spans="1:8" ht="33.75" x14ac:dyDescent="0.25">
      <c r="A821" s="23" t="s">
        <v>1155</v>
      </c>
      <c r="B821" s="24" t="s">
        <v>904</v>
      </c>
      <c r="C821" s="25" t="s">
        <v>905</v>
      </c>
      <c r="D821" s="80" t="s">
        <v>54</v>
      </c>
      <c r="E821" s="42">
        <v>0.1</v>
      </c>
      <c r="F821" s="42">
        <v>0.13500000000000001</v>
      </c>
      <c r="G821" s="33">
        <f t="shared" si="77"/>
        <v>2350000</v>
      </c>
      <c r="H821" s="33">
        <f t="shared" si="78"/>
        <v>317250</v>
      </c>
    </row>
    <row r="822" spans="1:8" ht="33.75" x14ac:dyDescent="0.25">
      <c r="A822" s="23" t="s">
        <v>1156</v>
      </c>
      <c r="B822" s="24" t="s">
        <v>1078</v>
      </c>
      <c r="C822" s="25" t="s">
        <v>1079</v>
      </c>
      <c r="D822" s="80" t="s">
        <v>54</v>
      </c>
      <c r="E822" s="42">
        <v>7.0000000000000007E-2</v>
      </c>
      <c r="F822" s="42">
        <v>9.4500000000000001E-2</v>
      </c>
      <c r="G822" s="33">
        <f t="shared" si="77"/>
        <v>2350000</v>
      </c>
      <c r="H822" s="33">
        <f t="shared" si="78"/>
        <v>222075</v>
      </c>
    </row>
    <row r="823" spans="1:8" x14ac:dyDescent="0.25">
      <c r="A823" s="23" t="s">
        <v>1157</v>
      </c>
      <c r="B823" s="24" t="s">
        <v>1081</v>
      </c>
      <c r="C823" s="25" t="s">
        <v>1082</v>
      </c>
      <c r="D823" s="80" t="s">
        <v>164</v>
      </c>
      <c r="E823" s="42">
        <v>2</v>
      </c>
      <c r="F823" s="42">
        <v>2.7</v>
      </c>
      <c r="G823" s="33">
        <f t="shared" si="77"/>
        <v>15000</v>
      </c>
      <c r="H823" s="33">
        <f t="shared" si="78"/>
        <v>40500</v>
      </c>
    </row>
    <row r="824" spans="1:8" x14ac:dyDescent="0.25">
      <c r="A824" s="23" t="s">
        <v>1158</v>
      </c>
      <c r="B824" s="24" t="s">
        <v>1084</v>
      </c>
      <c r="C824" s="25" t="s">
        <v>366</v>
      </c>
      <c r="D824" s="80" t="s">
        <v>367</v>
      </c>
      <c r="E824" s="42">
        <v>3</v>
      </c>
      <c r="F824" s="42">
        <v>4.05</v>
      </c>
      <c r="G824" s="33">
        <f t="shared" si="77"/>
        <v>23000</v>
      </c>
      <c r="H824" s="33">
        <f t="shared" si="78"/>
        <v>93150</v>
      </c>
    </row>
    <row r="825" spans="1:8" ht="31.5" x14ac:dyDescent="0.25">
      <c r="A825" s="15" t="s">
        <v>566</v>
      </c>
      <c r="B825" s="16" t="s">
        <v>914</v>
      </c>
      <c r="C825" s="16" t="s">
        <v>915</v>
      </c>
      <c r="D825" s="77" t="s">
        <v>60</v>
      </c>
      <c r="E825" s="125">
        <v>8.5999999999999993E-2</v>
      </c>
      <c r="F825" s="125"/>
      <c r="G825" s="33">
        <f>+G807</f>
        <v>8550300</v>
      </c>
      <c r="H825" s="33">
        <f>+G825*E825</f>
        <v>735325.79999999993</v>
      </c>
    </row>
    <row r="826" spans="1:8" ht="21" x14ac:dyDescent="0.25">
      <c r="A826" s="15" t="s">
        <v>1159</v>
      </c>
      <c r="B826" s="16" t="s">
        <v>1160</v>
      </c>
      <c r="C826" s="16" t="s">
        <v>1161</v>
      </c>
      <c r="D826" s="77" t="s">
        <v>60</v>
      </c>
      <c r="E826" s="125">
        <v>1.64</v>
      </c>
      <c r="F826" s="125"/>
      <c r="G826" s="33"/>
      <c r="H826" s="33"/>
    </row>
    <row r="827" spans="1:8" x14ac:dyDescent="0.25">
      <c r="A827" s="17" t="s">
        <v>1162</v>
      </c>
      <c r="B827" s="18" t="s">
        <v>8</v>
      </c>
      <c r="C827" s="19" t="s">
        <v>35</v>
      </c>
      <c r="D827" s="78" t="s">
        <v>858</v>
      </c>
      <c r="E827" s="40">
        <v>66.489999999999995</v>
      </c>
      <c r="F827" s="40">
        <v>109.0436</v>
      </c>
      <c r="G827" s="33">
        <f>+G809</f>
        <v>26500</v>
      </c>
      <c r="H827" s="33">
        <f t="shared" ref="H827:H837" si="79">G827*F827</f>
        <v>2889655.4</v>
      </c>
    </row>
    <row r="828" spans="1:8" x14ac:dyDescent="0.25">
      <c r="A828" s="17" t="s">
        <v>1163</v>
      </c>
      <c r="B828" s="18" t="s">
        <v>30</v>
      </c>
      <c r="C828" s="19" t="s">
        <v>15</v>
      </c>
      <c r="D828" s="78" t="s">
        <v>858</v>
      </c>
      <c r="E828" s="40">
        <v>0.01</v>
      </c>
      <c r="F828" s="40">
        <v>1.6400000000000001E-2</v>
      </c>
      <c r="G828" s="33">
        <f>+G810</f>
        <v>0</v>
      </c>
      <c r="H828" s="33">
        <f t="shared" si="79"/>
        <v>0</v>
      </c>
    </row>
    <row r="829" spans="1:8" ht="22.5" x14ac:dyDescent="0.25">
      <c r="A829" s="20" t="s">
        <v>1164</v>
      </c>
      <c r="B829" s="21" t="s">
        <v>1165</v>
      </c>
      <c r="C829" s="22" t="s">
        <v>1166</v>
      </c>
      <c r="D829" s="79" t="s">
        <v>861</v>
      </c>
      <c r="E829" s="41">
        <v>0.33</v>
      </c>
      <c r="F829" s="41">
        <v>0.54120000000000001</v>
      </c>
      <c r="G829" s="32">
        <v>25000</v>
      </c>
      <c r="H829" s="33">
        <f t="shared" si="79"/>
        <v>13530</v>
      </c>
    </row>
    <row r="830" spans="1:8" x14ac:dyDescent="0.25">
      <c r="A830" s="20" t="s">
        <v>1167</v>
      </c>
      <c r="B830" s="21" t="s">
        <v>1055</v>
      </c>
      <c r="C830" s="22" t="s">
        <v>1056</v>
      </c>
      <c r="D830" s="79" t="s">
        <v>861</v>
      </c>
      <c r="E830" s="41">
        <v>3.98</v>
      </c>
      <c r="F830" s="41">
        <v>6.5271999999999997</v>
      </c>
      <c r="G830" s="33">
        <f>+G812</f>
        <v>25000</v>
      </c>
      <c r="H830" s="33">
        <f t="shared" si="79"/>
        <v>163180</v>
      </c>
    </row>
    <row r="831" spans="1:8" ht="22.5" x14ac:dyDescent="0.25">
      <c r="A831" s="20" t="s">
        <v>1168</v>
      </c>
      <c r="B831" s="21" t="s">
        <v>1091</v>
      </c>
      <c r="C831" s="22" t="s">
        <v>497</v>
      </c>
      <c r="D831" s="79" t="s">
        <v>861</v>
      </c>
      <c r="E831" s="41">
        <v>0.19</v>
      </c>
      <c r="F831" s="41">
        <v>0.31159999999999999</v>
      </c>
      <c r="G831" s="33">
        <f>+G765</f>
        <v>22300</v>
      </c>
      <c r="H831" s="33">
        <f t="shared" si="79"/>
        <v>6948.6799999999994</v>
      </c>
    </row>
    <row r="832" spans="1:8" ht="22.5" x14ac:dyDescent="0.25">
      <c r="A832" s="20" t="s">
        <v>1169</v>
      </c>
      <c r="B832" s="21" t="s">
        <v>883</v>
      </c>
      <c r="C832" s="22" t="s">
        <v>190</v>
      </c>
      <c r="D832" s="79" t="s">
        <v>861</v>
      </c>
      <c r="E832" s="41">
        <v>0.01</v>
      </c>
      <c r="F832" s="41">
        <v>1.6400000000000001E-2</v>
      </c>
      <c r="G832" s="33">
        <f>+G813</f>
        <v>35000</v>
      </c>
      <c r="H832" s="33">
        <f t="shared" si="79"/>
        <v>574</v>
      </c>
    </row>
    <row r="833" spans="1:8" ht="22.5" x14ac:dyDescent="0.25">
      <c r="A833" s="23" t="s">
        <v>1170</v>
      </c>
      <c r="B833" s="24" t="s">
        <v>937</v>
      </c>
      <c r="C833" s="25" t="s">
        <v>938</v>
      </c>
      <c r="D833" s="80" t="s">
        <v>60</v>
      </c>
      <c r="E833" s="42">
        <v>2.4E-2</v>
      </c>
      <c r="F833" s="42">
        <v>3.9359999999999999E-2</v>
      </c>
      <c r="G833" s="33">
        <f>+G767</f>
        <v>22500000</v>
      </c>
      <c r="H833" s="33">
        <f t="shared" si="79"/>
        <v>885600</v>
      </c>
    </row>
    <row r="834" spans="1:8" x14ac:dyDescent="0.25">
      <c r="A834" s="23" t="s">
        <v>1171</v>
      </c>
      <c r="B834" s="24" t="s">
        <v>1095</v>
      </c>
      <c r="C834" s="25" t="s">
        <v>1096</v>
      </c>
      <c r="D834" s="80" t="s">
        <v>60</v>
      </c>
      <c r="E834" s="42">
        <v>8.0000000000000002E-3</v>
      </c>
      <c r="F834" s="42">
        <v>1.312E-2</v>
      </c>
      <c r="G834" s="33">
        <f>+G768</f>
        <v>1500000</v>
      </c>
      <c r="H834" s="33">
        <f t="shared" si="79"/>
        <v>19680</v>
      </c>
    </row>
    <row r="835" spans="1:8" x14ac:dyDescent="0.25">
      <c r="A835" s="23" t="s">
        <v>1172</v>
      </c>
      <c r="B835" s="24" t="s">
        <v>1110</v>
      </c>
      <c r="C835" s="25" t="s">
        <v>405</v>
      </c>
      <c r="D835" s="80" t="s">
        <v>60</v>
      </c>
      <c r="E835" s="42">
        <v>6.9999999999999999E-4</v>
      </c>
      <c r="F835" s="42">
        <v>1.1479999999999999E-3</v>
      </c>
      <c r="G835" s="33">
        <f>+G787</f>
        <v>22500000</v>
      </c>
      <c r="H835" s="33">
        <f t="shared" si="79"/>
        <v>25830</v>
      </c>
    </row>
    <row r="836" spans="1:8" x14ac:dyDescent="0.25">
      <c r="A836" s="23" t="s">
        <v>1173</v>
      </c>
      <c r="B836" s="24" t="s">
        <v>1081</v>
      </c>
      <c r="C836" s="25" t="s">
        <v>1082</v>
      </c>
      <c r="D836" s="80" t="s">
        <v>164</v>
      </c>
      <c r="E836" s="42">
        <v>6.5</v>
      </c>
      <c r="F836" s="42">
        <v>10.66</v>
      </c>
      <c r="G836" s="33">
        <f>+G823</f>
        <v>15000</v>
      </c>
      <c r="H836" s="33">
        <f t="shared" si="79"/>
        <v>159900</v>
      </c>
    </row>
    <row r="837" spans="1:8" x14ac:dyDescent="0.25">
      <c r="A837" s="23" t="s">
        <v>1174</v>
      </c>
      <c r="B837" s="24" t="s">
        <v>1175</v>
      </c>
      <c r="C837" s="25" t="s">
        <v>1176</v>
      </c>
      <c r="D837" s="80" t="s">
        <v>60</v>
      </c>
      <c r="E837" s="42">
        <v>1</v>
      </c>
      <c r="F837" s="42">
        <v>1.64</v>
      </c>
      <c r="G837" s="32">
        <v>14000000</v>
      </c>
      <c r="H837" s="33">
        <f t="shared" si="79"/>
        <v>22960000</v>
      </c>
    </row>
    <row r="838" spans="1:8" ht="63" x14ac:dyDescent="0.25">
      <c r="A838" s="15" t="s">
        <v>1177</v>
      </c>
      <c r="B838" s="16" t="s">
        <v>1178</v>
      </c>
      <c r="C838" s="16" t="s">
        <v>1179</v>
      </c>
      <c r="D838" s="77" t="s">
        <v>512</v>
      </c>
      <c r="E838" s="125">
        <v>1.56</v>
      </c>
      <c r="F838" s="125"/>
      <c r="G838" s="33"/>
      <c r="H838" s="33"/>
    </row>
    <row r="839" spans="1:8" x14ac:dyDescent="0.25">
      <c r="A839" s="17" t="s">
        <v>1180</v>
      </c>
      <c r="B839" s="18" t="s">
        <v>8</v>
      </c>
      <c r="C839" s="19" t="s">
        <v>35</v>
      </c>
      <c r="D839" s="78" t="s">
        <v>858</v>
      </c>
      <c r="E839" s="40">
        <v>157.66999999999999</v>
      </c>
      <c r="F839" s="40">
        <v>245.96520000000001</v>
      </c>
      <c r="G839" s="33">
        <f>+G827</f>
        <v>26500</v>
      </c>
      <c r="H839" s="33">
        <f t="shared" ref="H839:H861" si="80">G839*F839</f>
        <v>6518077.7999999998</v>
      </c>
    </row>
    <row r="840" spans="1:8" x14ac:dyDescent="0.25">
      <c r="A840" s="17" t="s">
        <v>1181</v>
      </c>
      <c r="B840" s="18" t="s">
        <v>30</v>
      </c>
      <c r="C840" s="19" t="s">
        <v>15</v>
      </c>
      <c r="D840" s="78" t="s">
        <v>858</v>
      </c>
      <c r="E840" s="40">
        <v>5.41</v>
      </c>
      <c r="F840" s="40">
        <v>8.4396000000000004</v>
      </c>
      <c r="G840" s="33">
        <f>+G828</f>
        <v>0</v>
      </c>
      <c r="H840" s="33">
        <f t="shared" si="80"/>
        <v>0</v>
      </c>
    </row>
    <row r="841" spans="1:8" x14ac:dyDescent="0.25">
      <c r="A841" s="20" t="s">
        <v>1182</v>
      </c>
      <c r="B841" s="21" t="s">
        <v>1183</v>
      </c>
      <c r="C841" s="22" t="s">
        <v>304</v>
      </c>
      <c r="D841" s="79" t="s">
        <v>861</v>
      </c>
      <c r="E841" s="41">
        <v>3.02</v>
      </c>
      <c r="F841" s="41">
        <v>4.7111999999999998</v>
      </c>
      <c r="G841" s="33">
        <f>+G112</f>
        <v>500</v>
      </c>
      <c r="H841" s="33">
        <f t="shared" si="80"/>
        <v>2355.6</v>
      </c>
    </row>
    <row r="842" spans="1:8" ht="33.75" x14ac:dyDescent="0.25">
      <c r="A842" s="20" t="s">
        <v>1184</v>
      </c>
      <c r="B842" s="21" t="s">
        <v>1185</v>
      </c>
      <c r="C842" s="22" t="s">
        <v>1186</v>
      </c>
      <c r="D842" s="79" t="s">
        <v>861</v>
      </c>
      <c r="E842" s="41">
        <v>3.33</v>
      </c>
      <c r="F842" s="41">
        <v>5.1947999999999999</v>
      </c>
      <c r="G842" s="32">
        <v>25000</v>
      </c>
      <c r="H842" s="33">
        <f t="shared" si="80"/>
        <v>129870</v>
      </c>
    </row>
    <row r="843" spans="1:8" ht="33.75" x14ac:dyDescent="0.25">
      <c r="A843" s="20" t="s">
        <v>1187</v>
      </c>
      <c r="B843" s="21" t="s">
        <v>875</v>
      </c>
      <c r="C843" s="22" t="s">
        <v>314</v>
      </c>
      <c r="D843" s="79" t="s">
        <v>861</v>
      </c>
      <c r="E843" s="41">
        <v>0.19</v>
      </c>
      <c r="F843" s="41">
        <v>0.2964</v>
      </c>
      <c r="G843" s="33">
        <f>+G811</f>
        <v>113021</v>
      </c>
      <c r="H843" s="33">
        <f t="shared" si="80"/>
        <v>33499.424399999996</v>
      </c>
    </row>
    <row r="844" spans="1:8" ht="33.75" x14ac:dyDescent="0.25">
      <c r="A844" s="20" t="s">
        <v>1188</v>
      </c>
      <c r="B844" s="21" t="s">
        <v>925</v>
      </c>
      <c r="C844" s="22" t="s">
        <v>319</v>
      </c>
      <c r="D844" s="79" t="s">
        <v>861</v>
      </c>
      <c r="E844" s="41">
        <v>1.56</v>
      </c>
      <c r="F844" s="41">
        <v>2.4336000000000002</v>
      </c>
      <c r="G844" s="33">
        <f>+G781</f>
        <v>113021</v>
      </c>
      <c r="H844" s="33">
        <f t="shared" si="80"/>
        <v>275047.9056</v>
      </c>
    </row>
    <row r="845" spans="1:8" x14ac:dyDescent="0.25">
      <c r="A845" s="20" t="s">
        <v>1189</v>
      </c>
      <c r="B845" s="21" t="s">
        <v>1190</v>
      </c>
      <c r="C845" s="22" t="s">
        <v>519</v>
      </c>
      <c r="D845" s="79" t="s">
        <v>861</v>
      </c>
      <c r="E845" s="41">
        <v>22.92</v>
      </c>
      <c r="F845" s="41">
        <v>35.755200000000002</v>
      </c>
      <c r="G845" s="33">
        <f>+G567</f>
        <v>4000</v>
      </c>
      <c r="H845" s="33">
        <f t="shared" si="80"/>
        <v>143020.80000000002</v>
      </c>
    </row>
    <row r="846" spans="1:8" ht="22.5" x14ac:dyDescent="0.25">
      <c r="A846" s="20" t="s">
        <v>1191</v>
      </c>
      <c r="B846" s="21" t="s">
        <v>883</v>
      </c>
      <c r="C846" s="22" t="s">
        <v>190</v>
      </c>
      <c r="D846" s="79" t="s">
        <v>861</v>
      </c>
      <c r="E846" s="41">
        <v>0.33</v>
      </c>
      <c r="F846" s="41">
        <v>0.51480000000000004</v>
      </c>
      <c r="G846" s="33">
        <f>+G832</f>
        <v>35000</v>
      </c>
      <c r="H846" s="33">
        <f t="shared" si="80"/>
        <v>18018</v>
      </c>
    </row>
    <row r="847" spans="1:8" ht="22.5" x14ac:dyDescent="0.25">
      <c r="A847" s="23" t="s">
        <v>1192</v>
      </c>
      <c r="B847" s="24" t="s">
        <v>885</v>
      </c>
      <c r="C847" s="25" t="s">
        <v>886</v>
      </c>
      <c r="D847" s="80" t="s">
        <v>54</v>
      </c>
      <c r="E847" s="42">
        <v>7.14</v>
      </c>
      <c r="F847" s="42">
        <v>11.138400000000001</v>
      </c>
      <c r="G847" s="33">
        <f>+G815</f>
        <v>466043</v>
      </c>
      <c r="H847" s="33">
        <f t="shared" si="80"/>
        <v>5190973.3512000004</v>
      </c>
    </row>
    <row r="848" spans="1:8" x14ac:dyDescent="0.25">
      <c r="A848" s="23" t="s">
        <v>1193</v>
      </c>
      <c r="B848" s="24" t="s">
        <v>888</v>
      </c>
      <c r="C848" s="25" t="s">
        <v>194</v>
      </c>
      <c r="D848" s="80" t="s">
        <v>54</v>
      </c>
      <c r="E848" s="42">
        <v>5</v>
      </c>
      <c r="F848" s="42">
        <v>7.8</v>
      </c>
      <c r="G848" s="33">
        <f>+G816</f>
        <v>0</v>
      </c>
      <c r="H848" s="33">
        <f t="shared" si="80"/>
        <v>0</v>
      </c>
    </row>
    <row r="849" spans="1:8" x14ac:dyDescent="0.25">
      <c r="A849" s="23" t="s">
        <v>1194</v>
      </c>
      <c r="B849" s="24" t="s">
        <v>1195</v>
      </c>
      <c r="C849" s="25" t="s">
        <v>1196</v>
      </c>
      <c r="D849" s="80" t="s">
        <v>60</v>
      </c>
      <c r="E849" s="42">
        <v>0.2</v>
      </c>
      <c r="F849" s="42">
        <v>0.312</v>
      </c>
      <c r="G849" s="32">
        <v>1500000</v>
      </c>
      <c r="H849" s="33">
        <f t="shared" si="80"/>
        <v>468000</v>
      </c>
    </row>
    <row r="850" spans="1:8" ht="22.5" x14ac:dyDescent="0.25">
      <c r="A850" s="23" t="s">
        <v>1197</v>
      </c>
      <c r="B850" s="24" t="s">
        <v>1198</v>
      </c>
      <c r="C850" s="25" t="s">
        <v>1199</v>
      </c>
      <c r="D850" s="80" t="s">
        <v>60</v>
      </c>
      <c r="E850" s="42">
        <v>0.87</v>
      </c>
      <c r="F850" s="42">
        <v>1.3572</v>
      </c>
      <c r="G850" s="33">
        <f>+G585</f>
        <v>4500000</v>
      </c>
      <c r="H850" s="33">
        <f t="shared" si="80"/>
        <v>6107400</v>
      </c>
    </row>
    <row r="851" spans="1:8" x14ac:dyDescent="0.25">
      <c r="A851" s="23" t="s">
        <v>1200</v>
      </c>
      <c r="B851" s="24" t="s">
        <v>1201</v>
      </c>
      <c r="C851" s="25" t="s">
        <v>1202</v>
      </c>
      <c r="D851" s="80" t="s">
        <v>60</v>
      </c>
      <c r="E851" s="42">
        <v>5.1999999999999998E-2</v>
      </c>
      <c r="F851" s="42">
        <v>8.1119999999999998E-2</v>
      </c>
      <c r="G851" s="32">
        <v>1500000</v>
      </c>
      <c r="H851" s="33">
        <f t="shared" si="80"/>
        <v>121680</v>
      </c>
    </row>
    <row r="852" spans="1:8" x14ac:dyDescent="0.25">
      <c r="A852" s="23" t="s">
        <v>1203</v>
      </c>
      <c r="B852" s="24" t="s">
        <v>1204</v>
      </c>
      <c r="C852" s="25" t="s">
        <v>563</v>
      </c>
      <c r="D852" s="80" t="s">
        <v>60</v>
      </c>
      <c r="E852" s="42">
        <v>3.2199999999999999E-2</v>
      </c>
      <c r="F852" s="42">
        <v>5.0231999999999999E-2</v>
      </c>
      <c r="G852" s="33">
        <f>+G586</f>
        <v>1500000</v>
      </c>
      <c r="H852" s="33">
        <f t="shared" si="80"/>
        <v>75348</v>
      </c>
    </row>
    <row r="853" spans="1:8" ht="22.5" x14ac:dyDescent="0.25">
      <c r="A853" s="23" t="s">
        <v>1205</v>
      </c>
      <c r="B853" s="24" t="s">
        <v>1206</v>
      </c>
      <c r="C853" s="25" t="s">
        <v>1207</v>
      </c>
      <c r="D853" s="80" t="s">
        <v>60</v>
      </c>
      <c r="E853" s="42">
        <v>1.2050000000000001</v>
      </c>
      <c r="F853" s="42">
        <v>1.8797999999999999</v>
      </c>
      <c r="G853" s="35">
        <f>+G178</f>
        <v>4500000</v>
      </c>
      <c r="H853" s="33">
        <f t="shared" si="80"/>
        <v>8459100</v>
      </c>
    </row>
    <row r="854" spans="1:8" x14ac:dyDescent="0.25">
      <c r="A854" s="23" t="s">
        <v>1208</v>
      </c>
      <c r="B854" s="24" t="s">
        <v>1209</v>
      </c>
      <c r="C854" s="25" t="s">
        <v>1210</v>
      </c>
      <c r="D854" s="80" t="s">
        <v>60</v>
      </c>
      <c r="E854" s="42">
        <v>0.15</v>
      </c>
      <c r="F854" s="42">
        <v>0.23400000000000001</v>
      </c>
      <c r="G854" s="35">
        <f>+G424</f>
        <v>10000000</v>
      </c>
      <c r="H854" s="33">
        <f t="shared" si="80"/>
        <v>2340000</v>
      </c>
    </row>
    <row r="855" spans="1:8" x14ac:dyDescent="0.25">
      <c r="A855" s="23" t="s">
        <v>1211</v>
      </c>
      <c r="B855" s="24" t="s">
        <v>895</v>
      </c>
      <c r="C855" s="25" t="s">
        <v>896</v>
      </c>
      <c r="D855" s="80" t="s">
        <v>367</v>
      </c>
      <c r="E855" s="42">
        <v>78.510000000000005</v>
      </c>
      <c r="F855" s="42">
        <v>122.4756</v>
      </c>
      <c r="G855" s="33">
        <f>+G680</f>
        <v>2500</v>
      </c>
      <c r="H855" s="33">
        <f t="shared" si="80"/>
        <v>306189</v>
      </c>
    </row>
    <row r="856" spans="1:8" x14ac:dyDescent="0.25">
      <c r="A856" s="23" t="s">
        <v>1212</v>
      </c>
      <c r="B856" s="24" t="s">
        <v>1213</v>
      </c>
      <c r="C856" s="25" t="s">
        <v>1214</v>
      </c>
      <c r="D856" s="80" t="s">
        <v>60</v>
      </c>
      <c r="E856" s="42">
        <v>0.26500000000000001</v>
      </c>
      <c r="F856" s="42">
        <v>0.41339999999999999</v>
      </c>
      <c r="G856" s="32">
        <v>9874563</v>
      </c>
      <c r="H856" s="33">
        <f t="shared" si="80"/>
        <v>4082144.3441999997</v>
      </c>
    </row>
    <row r="857" spans="1:8" ht="22.5" x14ac:dyDescent="0.25">
      <c r="A857" s="23" t="s">
        <v>1215</v>
      </c>
      <c r="B857" s="24" t="s">
        <v>901</v>
      </c>
      <c r="C857" s="25" t="s">
        <v>902</v>
      </c>
      <c r="D857" s="80" t="s">
        <v>361</v>
      </c>
      <c r="E857" s="42">
        <v>5.71</v>
      </c>
      <c r="F857" s="42">
        <v>8.9076000000000004</v>
      </c>
      <c r="G857" s="33">
        <f>+G682</f>
        <v>3500000</v>
      </c>
      <c r="H857" s="33">
        <f t="shared" si="80"/>
        <v>31176600</v>
      </c>
    </row>
    <row r="858" spans="1:8" ht="22.5" x14ac:dyDescent="0.25">
      <c r="A858" s="23" t="s">
        <v>1216</v>
      </c>
      <c r="B858" s="24" t="s">
        <v>1217</v>
      </c>
      <c r="C858" s="25" t="s">
        <v>1218</v>
      </c>
      <c r="D858" s="80" t="s">
        <v>1219</v>
      </c>
      <c r="E858" s="42">
        <v>2.75</v>
      </c>
      <c r="F858" s="42">
        <v>4.29</v>
      </c>
      <c r="G858" s="32">
        <v>258963</v>
      </c>
      <c r="H858" s="33">
        <f t="shared" si="80"/>
        <v>1110951.27</v>
      </c>
    </row>
    <row r="859" spans="1:8" ht="22.5" x14ac:dyDescent="0.25">
      <c r="A859" s="23" t="s">
        <v>1220</v>
      </c>
      <c r="B859" s="24" t="s">
        <v>1221</v>
      </c>
      <c r="C859" s="25" t="s">
        <v>1222</v>
      </c>
      <c r="D859" s="80" t="s">
        <v>60</v>
      </c>
      <c r="E859" s="42">
        <v>0.158</v>
      </c>
      <c r="F859" s="42">
        <v>0.24648</v>
      </c>
      <c r="G859" s="32">
        <v>1400000</v>
      </c>
      <c r="H859" s="33">
        <f t="shared" si="80"/>
        <v>345072</v>
      </c>
    </row>
    <row r="860" spans="1:8" x14ac:dyDescent="0.25">
      <c r="A860" s="23" t="s">
        <v>1223</v>
      </c>
      <c r="B860" s="24" t="s">
        <v>1224</v>
      </c>
      <c r="C860" s="25" t="s">
        <v>1225</v>
      </c>
      <c r="D860" s="80" t="s">
        <v>54</v>
      </c>
      <c r="E860" s="42">
        <v>0.2</v>
      </c>
      <c r="F860" s="42">
        <v>0.312</v>
      </c>
      <c r="G860" s="32">
        <v>56000</v>
      </c>
      <c r="H860" s="33">
        <f t="shared" si="80"/>
        <v>17472</v>
      </c>
    </row>
    <row r="861" spans="1:8" ht="22.5" x14ac:dyDescent="0.25">
      <c r="A861" s="23" t="s">
        <v>1226</v>
      </c>
      <c r="B861" s="24" t="s">
        <v>1227</v>
      </c>
      <c r="C861" s="25" t="s">
        <v>1228</v>
      </c>
      <c r="D861" s="80" t="s">
        <v>60</v>
      </c>
      <c r="E861" s="42">
        <v>0.32</v>
      </c>
      <c r="F861" s="42">
        <v>0.49919999999999998</v>
      </c>
      <c r="G861" s="32">
        <v>3500000</v>
      </c>
      <c r="H861" s="33">
        <f t="shared" si="80"/>
        <v>1747200</v>
      </c>
    </row>
    <row r="862" spans="1:8" ht="42" x14ac:dyDescent="0.25">
      <c r="A862" s="15" t="s">
        <v>1229</v>
      </c>
      <c r="B862" s="16" t="s">
        <v>1230</v>
      </c>
      <c r="C862" s="16" t="s">
        <v>1231</v>
      </c>
      <c r="D862" s="77" t="s">
        <v>604</v>
      </c>
      <c r="E862" s="125">
        <v>0.12</v>
      </c>
      <c r="F862" s="125"/>
      <c r="G862" s="33"/>
      <c r="H862" s="33"/>
    </row>
    <row r="863" spans="1:8" x14ac:dyDescent="0.25">
      <c r="A863" s="17" t="s">
        <v>1232</v>
      </c>
      <c r="B863" s="18" t="s">
        <v>8</v>
      </c>
      <c r="C863" s="19" t="s">
        <v>35</v>
      </c>
      <c r="D863" s="78" t="s">
        <v>858</v>
      </c>
      <c r="E863" s="40">
        <v>33.6</v>
      </c>
      <c r="F863" s="40">
        <v>4.032</v>
      </c>
      <c r="G863" s="33">
        <f>+G839</f>
        <v>26500</v>
      </c>
      <c r="H863" s="33">
        <f t="shared" ref="H863:H875" si="81">G863*F863</f>
        <v>106848</v>
      </c>
    </row>
    <row r="864" spans="1:8" x14ac:dyDescent="0.25">
      <c r="A864" s="17" t="s">
        <v>1233</v>
      </c>
      <c r="B864" s="18" t="s">
        <v>30</v>
      </c>
      <c r="C864" s="19" t="s">
        <v>15</v>
      </c>
      <c r="D864" s="78" t="s">
        <v>858</v>
      </c>
      <c r="E864" s="40">
        <v>16.829999999999998</v>
      </c>
      <c r="F864" s="40">
        <v>2.0196000000000001</v>
      </c>
      <c r="G864" s="33">
        <f>+G840</f>
        <v>0</v>
      </c>
      <c r="H864" s="33">
        <f t="shared" si="81"/>
        <v>0</v>
      </c>
    </row>
    <row r="865" spans="1:8" x14ac:dyDescent="0.25">
      <c r="A865" s="20" t="s">
        <v>1234</v>
      </c>
      <c r="B865" s="21" t="s">
        <v>1235</v>
      </c>
      <c r="C865" s="22" t="s">
        <v>1236</v>
      </c>
      <c r="D865" s="79" t="s">
        <v>861</v>
      </c>
      <c r="E865" s="41">
        <v>1.4</v>
      </c>
      <c r="F865" s="41">
        <v>0.16800000000000001</v>
      </c>
      <c r="G865" s="32">
        <v>200</v>
      </c>
      <c r="H865" s="33">
        <f t="shared" si="81"/>
        <v>33.6</v>
      </c>
    </row>
    <row r="866" spans="1:8" x14ac:dyDescent="0.25">
      <c r="A866" s="20" t="s">
        <v>1237</v>
      </c>
      <c r="B866" s="21" t="s">
        <v>1238</v>
      </c>
      <c r="C866" s="22" t="s">
        <v>1239</v>
      </c>
      <c r="D866" s="79" t="s">
        <v>861</v>
      </c>
      <c r="E866" s="41">
        <v>3.47</v>
      </c>
      <c r="F866" s="41">
        <v>0.41639999999999999</v>
      </c>
      <c r="G866" s="35">
        <f>+G232</f>
        <v>223109</v>
      </c>
      <c r="H866" s="33">
        <f t="shared" si="81"/>
        <v>92902.587599999999</v>
      </c>
    </row>
    <row r="867" spans="1:8" x14ac:dyDescent="0.25">
      <c r="A867" s="20" t="s">
        <v>1240</v>
      </c>
      <c r="B867" s="21" t="s">
        <v>1241</v>
      </c>
      <c r="C867" s="22" t="s">
        <v>1242</v>
      </c>
      <c r="D867" s="79" t="s">
        <v>861</v>
      </c>
      <c r="E867" s="41">
        <v>10.1</v>
      </c>
      <c r="F867" s="41">
        <v>1.212</v>
      </c>
      <c r="G867" s="35">
        <f>+G866</f>
        <v>223109</v>
      </c>
      <c r="H867" s="33">
        <f t="shared" si="81"/>
        <v>270408.10800000001</v>
      </c>
    </row>
    <row r="868" spans="1:8" ht="33.75" x14ac:dyDescent="0.25">
      <c r="A868" s="20" t="s">
        <v>1243</v>
      </c>
      <c r="B868" s="21" t="s">
        <v>875</v>
      </c>
      <c r="C868" s="22" t="s">
        <v>314</v>
      </c>
      <c r="D868" s="79" t="s">
        <v>861</v>
      </c>
      <c r="E868" s="41">
        <v>0.03</v>
      </c>
      <c r="F868" s="41">
        <v>3.5999999999999999E-3</v>
      </c>
      <c r="G868" s="33">
        <f>+G843</f>
        <v>113021</v>
      </c>
      <c r="H868" s="33">
        <f t="shared" si="81"/>
        <v>406.87559999999996</v>
      </c>
    </row>
    <row r="869" spans="1:8" x14ac:dyDescent="0.25">
      <c r="A869" s="20" t="s">
        <v>1244</v>
      </c>
      <c r="B869" s="21" t="s">
        <v>1245</v>
      </c>
      <c r="C869" s="22" t="s">
        <v>1246</v>
      </c>
      <c r="D869" s="79" t="s">
        <v>861</v>
      </c>
      <c r="E869" s="41">
        <v>0.39</v>
      </c>
      <c r="F869" s="41">
        <v>4.6800000000000001E-2</v>
      </c>
      <c r="G869" s="32">
        <v>60000</v>
      </c>
      <c r="H869" s="33">
        <f t="shared" si="81"/>
        <v>2808</v>
      </c>
    </row>
    <row r="870" spans="1:8" x14ac:dyDescent="0.25">
      <c r="A870" s="20" t="s">
        <v>1247</v>
      </c>
      <c r="B870" s="21" t="s">
        <v>1248</v>
      </c>
      <c r="C870" s="22" t="s">
        <v>1249</v>
      </c>
      <c r="D870" s="79" t="s">
        <v>861</v>
      </c>
      <c r="E870" s="41">
        <v>2.8</v>
      </c>
      <c r="F870" s="41">
        <v>0.33600000000000002</v>
      </c>
      <c r="G870" s="32">
        <v>385434</v>
      </c>
      <c r="H870" s="33">
        <f t="shared" si="81"/>
        <v>129505.82400000001</v>
      </c>
    </row>
    <row r="871" spans="1:8" ht="22.5" x14ac:dyDescent="0.25">
      <c r="A871" s="20" t="s">
        <v>1250</v>
      </c>
      <c r="B871" s="21" t="s">
        <v>966</v>
      </c>
      <c r="C871" s="22" t="s">
        <v>190</v>
      </c>
      <c r="D871" s="79" t="s">
        <v>861</v>
      </c>
      <c r="E871" s="41">
        <v>0.04</v>
      </c>
      <c r="F871" s="41">
        <v>4.7999999999999996E-3</v>
      </c>
      <c r="G871" s="33">
        <f>+G846</f>
        <v>35000</v>
      </c>
      <c r="H871" s="33">
        <f t="shared" si="81"/>
        <v>167.99999999999997</v>
      </c>
    </row>
    <row r="872" spans="1:8" ht="22.5" x14ac:dyDescent="0.25">
      <c r="A872" s="23" t="s">
        <v>1251</v>
      </c>
      <c r="B872" s="24" t="s">
        <v>1252</v>
      </c>
      <c r="C872" s="25" t="s">
        <v>1253</v>
      </c>
      <c r="D872" s="80" t="s">
        <v>60</v>
      </c>
      <c r="E872" s="42">
        <v>96.6</v>
      </c>
      <c r="F872" s="42">
        <v>11.592000000000001</v>
      </c>
      <c r="G872" s="32">
        <v>531591</v>
      </c>
      <c r="H872" s="33">
        <f t="shared" si="81"/>
        <v>6162202.8720000004</v>
      </c>
    </row>
    <row r="873" spans="1:8" x14ac:dyDescent="0.25">
      <c r="A873" s="23" t="s">
        <v>1254</v>
      </c>
      <c r="B873" s="24" t="s">
        <v>1255</v>
      </c>
      <c r="C873" s="25" t="s">
        <v>1256</v>
      </c>
      <c r="D873" s="80" t="s">
        <v>60</v>
      </c>
      <c r="E873" s="42">
        <v>1.0800000000000001E-2</v>
      </c>
      <c r="F873" s="42">
        <v>1.2960000000000001E-3</v>
      </c>
      <c r="G873" s="35">
        <f>+G853</f>
        <v>4500000</v>
      </c>
      <c r="H873" s="33">
        <f t="shared" si="81"/>
        <v>5832</v>
      </c>
    </row>
    <row r="874" spans="1:8" ht="22.5" x14ac:dyDescent="0.25">
      <c r="A874" s="23" t="s">
        <v>1257</v>
      </c>
      <c r="B874" s="24" t="s">
        <v>892</v>
      </c>
      <c r="C874" s="25" t="s">
        <v>893</v>
      </c>
      <c r="D874" s="80" t="s">
        <v>60</v>
      </c>
      <c r="E874" s="42">
        <v>6.1999999999999998E-3</v>
      </c>
      <c r="F874" s="42">
        <v>7.4399999999999998E-4</v>
      </c>
      <c r="G874" s="33">
        <f>+G679</f>
        <v>12500000</v>
      </c>
      <c r="H874" s="33">
        <f t="shared" si="81"/>
        <v>9300</v>
      </c>
    </row>
    <row r="875" spans="1:8" ht="33.75" x14ac:dyDescent="0.25">
      <c r="A875" s="23" t="s">
        <v>1258</v>
      </c>
      <c r="B875" s="24" t="s">
        <v>1259</v>
      </c>
      <c r="C875" s="25" t="s">
        <v>1260</v>
      </c>
      <c r="D875" s="80" t="s">
        <v>54</v>
      </c>
      <c r="E875" s="42">
        <v>0.15</v>
      </c>
      <c r="F875" s="42">
        <v>1.7999999999999999E-2</v>
      </c>
      <c r="G875" s="35">
        <f>+G643</f>
        <v>2350000</v>
      </c>
      <c r="H875" s="33">
        <f t="shared" si="81"/>
        <v>42300</v>
      </c>
    </row>
    <row r="876" spans="1:8" ht="21" x14ac:dyDescent="0.25">
      <c r="A876" s="15" t="s">
        <v>1261</v>
      </c>
      <c r="B876" s="16" t="s">
        <v>1262</v>
      </c>
      <c r="C876" s="16" t="s">
        <v>1263</v>
      </c>
      <c r="D876" s="77" t="s">
        <v>604</v>
      </c>
      <c r="E876" s="125">
        <v>0.12</v>
      </c>
      <c r="F876" s="125"/>
      <c r="G876" s="33"/>
      <c r="H876" s="33"/>
    </row>
    <row r="877" spans="1:8" x14ac:dyDescent="0.25">
      <c r="A877" s="17" t="s">
        <v>1264</v>
      </c>
      <c r="B877" s="18" t="s">
        <v>8</v>
      </c>
      <c r="C877" s="19" t="s">
        <v>35</v>
      </c>
      <c r="D877" s="78" t="s">
        <v>858</v>
      </c>
      <c r="E877" s="40">
        <v>0.54</v>
      </c>
      <c r="F877" s="40">
        <v>6.4799999999999996E-2</v>
      </c>
      <c r="G877" s="33">
        <f>+G863</f>
        <v>26500</v>
      </c>
      <c r="H877" s="33">
        <f t="shared" ref="H877:H880" si="82">G877*F877</f>
        <v>1717.1999999999998</v>
      </c>
    </row>
    <row r="878" spans="1:8" x14ac:dyDescent="0.25">
      <c r="A878" s="20" t="s">
        <v>1265</v>
      </c>
      <c r="B878" s="21" t="s">
        <v>1235</v>
      </c>
      <c r="C878" s="22" t="s">
        <v>1236</v>
      </c>
      <c r="D878" s="79" t="s">
        <v>861</v>
      </c>
      <c r="E878" s="41">
        <v>1.08</v>
      </c>
      <c r="F878" s="41">
        <v>0.12959999999999999</v>
      </c>
      <c r="G878" s="33">
        <f>+G865</f>
        <v>200</v>
      </c>
      <c r="H878" s="33">
        <f t="shared" si="82"/>
        <v>25.919999999999998</v>
      </c>
    </row>
    <row r="879" spans="1:8" ht="22.5" x14ac:dyDescent="0.25">
      <c r="A879" s="23" t="s">
        <v>1266</v>
      </c>
      <c r="B879" s="24" t="s">
        <v>1252</v>
      </c>
      <c r="C879" s="25" t="s">
        <v>1253</v>
      </c>
      <c r="D879" s="80" t="s">
        <v>60</v>
      </c>
      <c r="E879" s="42">
        <v>72.599999999999994</v>
      </c>
      <c r="F879" s="42">
        <v>8.7119999999999997</v>
      </c>
      <c r="G879" s="33">
        <f>+G872</f>
        <v>531591</v>
      </c>
      <c r="H879" s="33">
        <f t="shared" si="82"/>
        <v>4631220.7919999994</v>
      </c>
    </row>
    <row r="880" spans="1:8" x14ac:dyDescent="0.25">
      <c r="A880" s="23" t="s">
        <v>1267</v>
      </c>
      <c r="B880" s="24" t="s">
        <v>1255</v>
      </c>
      <c r="C880" s="25" t="s">
        <v>1256</v>
      </c>
      <c r="D880" s="80" t="s">
        <v>60</v>
      </c>
      <c r="E880" s="42">
        <v>8.3999999999999995E-3</v>
      </c>
      <c r="F880" s="42">
        <v>1.008E-3</v>
      </c>
      <c r="G880" s="33">
        <f>+G873</f>
        <v>4500000</v>
      </c>
      <c r="H880" s="33">
        <f t="shared" si="82"/>
        <v>4536</v>
      </c>
    </row>
    <row r="881" spans="1:8" ht="42" x14ac:dyDescent="0.25">
      <c r="A881" s="15" t="s">
        <v>1268</v>
      </c>
      <c r="B881" s="16" t="s">
        <v>1269</v>
      </c>
      <c r="C881" s="16" t="s">
        <v>1270</v>
      </c>
      <c r="D881" s="77" t="s">
        <v>512</v>
      </c>
      <c r="E881" s="125">
        <v>0.27</v>
      </c>
      <c r="F881" s="125"/>
      <c r="G881" s="33"/>
      <c r="H881" s="33"/>
    </row>
    <row r="882" spans="1:8" x14ac:dyDescent="0.25">
      <c r="A882" s="17" t="s">
        <v>1271</v>
      </c>
      <c r="B882" s="18" t="s">
        <v>8</v>
      </c>
      <c r="C882" s="19" t="s">
        <v>35</v>
      </c>
      <c r="D882" s="78" t="s">
        <v>858</v>
      </c>
      <c r="E882" s="40">
        <v>71.06</v>
      </c>
      <c r="F882" s="40">
        <v>19.186199999999999</v>
      </c>
      <c r="G882" s="33">
        <f>+G877</f>
        <v>26500</v>
      </c>
      <c r="H882" s="33">
        <f t="shared" ref="H882:H889" si="83">G882*F882</f>
        <v>508434.3</v>
      </c>
    </row>
    <row r="883" spans="1:8" x14ac:dyDescent="0.25">
      <c r="A883" s="17" t="s">
        <v>1272</v>
      </c>
      <c r="B883" s="18" t="s">
        <v>30</v>
      </c>
      <c r="C883" s="19" t="s">
        <v>15</v>
      </c>
      <c r="D883" s="78" t="s">
        <v>858</v>
      </c>
      <c r="E883" s="40">
        <v>0.04</v>
      </c>
      <c r="F883" s="40">
        <v>1.0800000000000001E-2</v>
      </c>
      <c r="G883" s="33">
        <f>+G864</f>
        <v>0</v>
      </c>
      <c r="H883" s="33">
        <f t="shared" si="83"/>
        <v>0</v>
      </c>
    </row>
    <row r="884" spans="1:8" x14ac:dyDescent="0.25">
      <c r="A884" s="20" t="s">
        <v>1273</v>
      </c>
      <c r="B884" s="21" t="s">
        <v>1274</v>
      </c>
      <c r="C884" s="22" t="s">
        <v>1275</v>
      </c>
      <c r="D884" s="79" t="s">
        <v>861</v>
      </c>
      <c r="E884" s="41">
        <v>0.01</v>
      </c>
      <c r="F884" s="41">
        <v>2.7000000000000001E-3</v>
      </c>
      <c r="G884" s="32">
        <v>25000</v>
      </c>
      <c r="H884" s="33">
        <f t="shared" si="83"/>
        <v>67.5</v>
      </c>
    </row>
    <row r="885" spans="1:8" ht="22.5" x14ac:dyDescent="0.25">
      <c r="A885" s="20" t="s">
        <v>1276</v>
      </c>
      <c r="B885" s="21" t="s">
        <v>966</v>
      </c>
      <c r="C885" s="22" t="s">
        <v>190</v>
      </c>
      <c r="D885" s="79" t="s">
        <v>861</v>
      </c>
      <c r="E885" s="41">
        <v>0.03</v>
      </c>
      <c r="F885" s="41">
        <v>8.0999999999999996E-3</v>
      </c>
      <c r="G885" s="33">
        <f>+G871</f>
        <v>35000</v>
      </c>
      <c r="H885" s="33">
        <f t="shared" si="83"/>
        <v>283.5</v>
      </c>
    </row>
    <row r="886" spans="1:8" x14ac:dyDescent="0.25">
      <c r="A886" s="23" t="s">
        <v>1277</v>
      </c>
      <c r="B886" s="24" t="s">
        <v>1278</v>
      </c>
      <c r="C886" s="25" t="s">
        <v>1279</v>
      </c>
      <c r="D886" s="80" t="s">
        <v>524</v>
      </c>
      <c r="E886" s="42">
        <v>2.7</v>
      </c>
      <c r="F886" s="42">
        <v>0.72899999999999998</v>
      </c>
      <c r="G886" s="32">
        <v>1400000</v>
      </c>
      <c r="H886" s="33">
        <f t="shared" si="83"/>
        <v>1020600</v>
      </c>
    </row>
    <row r="887" spans="1:8" ht="22.5" x14ac:dyDescent="0.25">
      <c r="A887" s="23" t="s">
        <v>1280</v>
      </c>
      <c r="B887" s="24" t="s">
        <v>1281</v>
      </c>
      <c r="C887" s="25" t="s">
        <v>1282</v>
      </c>
      <c r="D887" s="80" t="s">
        <v>60</v>
      </c>
      <c r="E887" s="42">
        <v>2.46E-2</v>
      </c>
      <c r="F887" s="42">
        <v>6.6420000000000003E-3</v>
      </c>
      <c r="G887" s="35">
        <f>+G833</f>
        <v>22500000</v>
      </c>
      <c r="H887" s="33">
        <f t="shared" si="83"/>
        <v>149445</v>
      </c>
    </row>
    <row r="888" spans="1:8" x14ac:dyDescent="0.25">
      <c r="A888" s="23" t="s">
        <v>1283</v>
      </c>
      <c r="B888" s="24" t="s">
        <v>1284</v>
      </c>
      <c r="C888" s="25" t="s">
        <v>523</v>
      </c>
      <c r="D888" s="80" t="s">
        <v>524</v>
      </c>
      <c r="E888" s="42">
        <v>0.3</v>
      </c>
      <c r="F888" s="42">
        <v>8.1000000000000003E-2</v>
      </c>
      <c r="G888" s="33">
        <f>+G568</f>
        <v>0</v>
      </c>
      <c r="H888" s="33">
        <f t="shared" si="83"/>
        <v>0</v>
      </c>
    </row>
    <row r="889" spans="1:8" x14ac:dyDescent="0.25">
      <c r="A889" s="26"/>
      <c r="B889" s="26"/>
      <c r="C889" s="26"/>
      <c r="D889" s="127" t="s">
        <v>1285</v>
      </c>
      <c r="E889" s="127"/>
      <c r="F889" s="127"/>
      <c r="G889" s="33"/>
      <c r="H889" s="33">
        <f t="shared" si="83"/>
        <v>0</v>
      </c>
    </row>
    <row r="890" spans="1:8" ht="42" x14ac:dyDescent="0.25">
      <c r="A890" s="15" t="s">
        <v>1286</v>
      </c>
      <c r="B890" s="16" t="s">
        <v>1287</v>
      </c>
      <c r="C890" s="16" t="s">
        <v>1288</v>
      </c>
      <c r="D890" s="77" t="s">
        <v>175</v>
      </c>
      <c r="E890" s="125">
        <v>0.32</v>
      </c>
      <c r="F890" s="125"/>
      <c r="G890" s="33"/>
      <c r="H890" s="33"/>
    </row>
    <row r="891" spans="1:8" x14ac:dyDescent="0.25">
      <c r="A891" s="17" t="s">
        <v>1289</v>
      </c>
      <c r="B891" s="18" t="s">
        <v>8</v>
      </c>
      <c r="C891" s="19" t="s">
        <v>35</v>
      </c>
      <c r="D891" s="78" t="s">
        <v>858</v>
      </c>
      <c r="E891" s="40">
        <v>254.4</v>
      </c>
      <c r="F891" s="40">
        <v>81.408000000000001</v>
      </c>
      <c r="G891" s="33">
        <f>+G882</f>
        <v>26500</v>
      </c>
      <c r="H891" s="33">
        <f t="shared" ref="H891:H907" si="84">G891*F891</f>
        <v>2157312</v>
      </c>
    </row>
    <row r="892" spans="1:8" x14ac:dyDescent="0.25">
      <c r="A892" s="17" t="s">
        <v>1290</v>
      </c>
      <c r="B892" s="18" t="s">
        <v>30</v>
      </c>
      <c r="C892" s="19" t="s">
        <v>15</v>
      </c>
      <c r="D892" s="78" t="s">
        <v>858</v>
      </c>
      <c r="E892" s="40">
        <v>6.31</v>
      </c>
      <c r="F892" s="40">
        <v>2.0192000000000001</v>
      </c>
      <c r="G892" s="33">
        <f>+G883</f>
        <v>0</v>
      </c>
      <c r="H892" s="33">
        <f t="shared" si="84"/>
        <v>0</v>
      </c>
    </row>
    <row r="893" spans="1:8" x14ac:dyDescent="0.25">
      <c r="A893" s="20" t="s">
        <v>1291</v>
      </c>
      <c r="B893" s="21" t="s">
        <v>1292</v>
      </c>
      <c r="C893" s="22" t="s">
        <v>1293</v>
      </c>
      <c r="D893" s="79" t="s">
        <v>861</v>
      </c>
      <c r="E893" s="41">
        <v>2.38</v>
      </c>
      <c r="F893" s="41">
        <v>0.76160000000000005</v>
      </c>
      <c r="G893" s="32">
        <v>25000</v>
      </c>
      <c r="H893" s="33">
        <f t="shared" si="84"/>
        <v>19040</v>
      </c>
    </row>
    <row r="894" spans="1:8" ht="33.75" x14ac:dyDescent="0.25">
      <c r="A894" s="20" t="s">
        <v>1294</v>
      </c>
      <c r="B894" s="21" t="s">
        <v>873</v>
      </c>
      <c r="C894" s="22" t="s">
        <v>309</v>
      </c>
      <c r="D894" s="79" t="s">
        <v>861</v>
      </c>
      <c r="E894" s="41">
        <v>2.38</v>
      </c>
      <c r="F894" s="41">
        <v>0.76160000000000005</v>
      </c>
      <c r="G894" s="33">
        <f>+G671</f>
        <v>25300</v>
      </c>
      <c r="H894" s="33">
        <f t="shared" si="84"/>
        <v>19268.480000000003</v>
      </c>
    </row>
    <row r="895" spans="1:8" ht="33.75" x14ac:dyDescent="0.25">
      <c r="A895" s="20" t="s">
        <v>1295</v>
      </c>
      <c r="B895" s="21" t="s">
        <v>875</v>
      </c>
      <c r="C895" s="22" t="s">
        <v>314</v>
      </c>
      <c r="D895" s="79" t="s">
        <v>861</v>
      </c>
      <c r="E895" s="41">
        <v>0.43</v>
      </c>
      <c r="F895" s="41">
        <v>0.1376</v>
      </c>
      <c r="G895" s="33">
        <f>+G868</f>
        <v>113021</v>
      </c>
      <c r="H895" s="33">
        <f t="shared" si="84"/>
        <v>15551.6896</v>
      </c>
    </row>
    <row r="896" spans="1:8" ht="33.75" x14ac:dyDescent="0.25">
      <c r="A896" s="20" t="s">
        <v>1296</v>
      </c>
      <c r="B896" s="21" t="s">
        <v>925</v>
      </c>
      <c r="C896" s="22" t="s">
        <v>319</v>
      </c>
      <c r="D896" s="79" t="s">
        <v>861</v>
      </c>
      <c r="E896" s="41">
        <v>0.48</v>
      </c>
      <c r="F896" s="41">
        <v>0.15359999999999999</v>
      </c>
      <c r="G896" s="33">
        <f>+G844</f>
        <v>113021</v>
      </c>
      <c r="H896" s="33">
        <f t="shared" si="84"/>
        <v>17360.025599999997</v>
      </c>
    </row>
    <row r="897" spans="1:8" x14ac:dyDescent="0.25">
      <c r="A897" s="20" t="s">
        <v>1297</v>
      </c>
      <c r="B897" s="21" t="s">
        <v>1190</v>
      </c>
      <c r="C897" s="22" t="s">
        <v>519</v>
      </c>
      <c r="D897" s="79" t="s">
        <v>861</v>
      </c>
      <c r="E897" s="41">
        <v>19.489999999999998</v>
      </c>
      <c r="F897" s="41">
        <v>6.2367999999999997</v>
      </c>
      <c r="G897" s="33">
        <f>+G845</f>
        <v>4000</v>
      </c>
      <c r="H897" s="33">
        <f t="shared" si="84"/>
        <v>24947.199999999997</v>
      </c>
    </row>
    <row r="898" spans="1:8" ht="22.5" x14ac:dyDescent="0.25">
      <c r="A898" s="20" t="s">
        <v>1298</v>
      </c>
      <c r="B898" s="21" t="s">
        <v>883</v>
      </c>
      <c r="C898" s="22" t="s">
        <v>190</v>
      </c>
      <c r="D898" s="79" t="s">
        <v>861</v>
      </c>
      <c r="E898" s="41">
        <v>0.64</v>
      </c>
      <c r="F898" s="41">
        <v>0.20480000000000001</v>
      </c>
      <c r="G898" s="33">
        <f>+G885</f>
        <v>35000</v>
      </c>
      <c r="H898" s="33">
        <f t="shared" si="84"/>
        <v>7168</v>
      </c>
    </row>
    <row r="899" spans="1:8" ht="22.5" x14ac:dyDescent="0.25">
      <c r="A899" s="23" t="s">
        <v>1299</v>
      </c>
      <c r="B899" s="24" t="s">
        <v>1017</v>
      </c>
      <c r="C899" s="25" t="s">
        <v>1018</v>
      </c>
      <c r="D899" s="80" t="s">
        <v>54</v>
      </c>
      <c r="E899" s="42">
        <v>0.30599999999999999</v>
      </c>
      <c r="F899" s="42">
        <v>9.7919999999999993E-2</v>
      </c>
      <c r="G899" s="33">
        <f>+G717</f>
        <v>0</v>
      </c>
      <c r="H899" s="33">
        <f t="shared" si="84"/>
        <v>0</v>
      </c>
    </row>
    <row r="900" spans="1:8" x14ac:dyDescent="0.25">
      <c r="A900" s="23" t="s">
        <v>1300</v>
      </c>
      <c r="B900" s="24" t="s">
        <v>1195</v>
      </c>
      <c r="C900" s="25" t="s">
        <v>1196</v>
      </c>
      <c r="D900" s="80" t="s">
        <v>60</v>
      </c>
      <c r="E900" s="42">
        <v>0.16500000000000001</v>
      </c>
      <c r="F900" s="42">
        <v>5.28E-2</v>
      </c>
      <c r="G900" s="33">
        <f>+G849</f>
        <v>1500000</v>
      </c>
      <c r="H900" s="33">
        <f t="shared" si="84"/>
        <v>79200</v>
      </c>
    </row>
    <row r="901" spans="1:8" x14ac:dyDescent="0.25">
      <c r="A901" s="23" t="s">
        <v>1301</v>
      </c>
      <c r="B901" s="24" t="s">
        <v>1302</v>
      </c>
      <c r="C901" s="25" t="s">
        <v>1303</v>
      </c>
      <c r="D901" s="80" t="s">
        <v>524</v>
      </c>
      <c r="E901" s="42">
        <v>430</v>
      </c>
      <c r="F901" s="42">
        <v>137.6</v>
      </c>
      <c r="G901" s="32">
        <v>35000</v>
      </c>
      <c r="H901" s="33">
        <f t="shared" si="84"/>
        <v>4816000</v>
      </c>
    </row>
    <row r="902" spans="1:8" x14ac:dyDescent="0.25">
      <c r="A902" s="23" t="s">
        <v>1304</v>
      </c>
      <c r="B902" s="24" t="s">
        <v>1201</v>
      </c>
      <c r="C902" s="25" t="s">
        <v>1202</v>
      </c>
      <c r="D902" s="80" t="s">
        <v>60</v>
      </c>
      <c r="E902" s="42">
        <v>2.5000000000000001E-2</v>
      </c>
      <c r="F902" s="42">
        <v>8.0000000000000002E-3</v>
      </c>
      <c r="G902" s="33">
        <f>+G851</f>
        <v>1500000</v>
      </c>
      <c r="H902" s="33">
        <f t="shared" si="84"/>
        <v>12000</v>
      </c>
    </row>
    <row r="903" spans="1:8" x14ac:dyDescent="0.25">
      <c r="A903" s="23" t="s">
        <v>1305</v>
      </c>
      <c r="B903" s="24" t="s">
        <v>1204</v>
      </c>
      <c r="C903" s="25" t="s">
        <v>563</v>
      </c>
      <c r="D903" s="80" t="s">
        <v>60</v>
      </c>
      <c r="E903" s="42">
        <v>1.4999999999999999E-2</v>
      </c>
      <c r="F903" s="42">
        <v>4.7999999999999996E-3</v>
      </c>
      <c r="G903" s="33">
        <f>+G852</f>
        <v>1500000</v>
      </c>
      <c r="H903" s="33">
        <f t="shared" si="84"/>
        <v>7199.9999999999991</v>
      </c>
    </row>
    <row r="904" spans="1:8" x14ac:dyDescent="0.25">
      <c r="A904" s="23" t="s">
        <v>1306</v>
      </c>
      <c r="B904" s="24" t="s">
        <v>1209</v>
      </c>
      <c r="C904" s="25" t="s">
        <v>1210</v>
      </c>
      <c r="D904" s="80" t="s">
        <v>60</v>
      </c>
      <c r="E904" s="42">
        <v>0.124</v>
      </c>
      <c r="F904" s="42">
        <v>3.968E-2</v>
      </c>
      <c r="G904" s="33">
        <f>+G854</f>
        <v>10000000</v>
      </c>
      <c r="H904" s="33">
        <f t="shared" si="84"/>
        <v>396800</v>
      </c>
    </row>
    <row r="905" spans="1:8" x14ac:dyDescent="0.25">
      <c r="A905" s="23" t="s">
        <v>1307</v>
      </c>
      <c r="B905" s="24" t="s">
        <v>1308</v>
      </c>
      <c r="C905" s="25" t="s">
        <v>1309</v>
      </c>
      <c r="D905" s="80" t="s">
        <v>60</v>
      </c>
      <c r="E905" s="42">
        <v>1.41E-2</v>
      </c>
      <c r="F905" s="42">
        <v>4.5120000000000004E-3</v>
      </c>
      <c r="G905" s="32">
        <v>141</v>
      </c>
      <c r="H905" s="33">
        <f t="shared" si="84"/>
        <v>0.63619200000000009</v>
      </c>
    </row>
    <row r="906" spans="1:8" ht="45" x14ac:dyDescent="0.25">
      <c r="A906" s="23" t="s">
        <v>1310</v>
      </c>
      <c r="B906" s="24" t="s">
        <v>1311</v>
      </c>
      <c r="C906" s="25" t="s">
        <v>1312</v>
      </c>
      <c r="D906" s="80" t="s">
        <v>54</v>
      </c>
      <c r="E906" s="42">
        <v>0.38600000000000001</v>
      </c>
      <c r="F906" s="42">
        <v>0.12352</v>
      </c>
      <c r="G906" s="35">
        <f>+G875</f>
        <v>2350000</v>
      </c>
      <c r="H906" s="33">
        <f t="shared" si="84"/>
        <v>290272</v>
      </c>
    </row>
    <row r="907" spans="1:8" ht="22.5" x14ac:dyDescent="0.25">
      <c r="A907" s="23" t="s">
        <v>1313</v>
      </c>
      <c r="B907" s="24" t="s">
        <v>1314</v>
      </c>
      <c r="C907" s="25" t="s">
        <v>1315</v>
      </c>
      <c r="D907" s="80" t="s">
        <v>60</v>
      </c>
      <c r="E907" s="42">
        <v>2.3000000000000001E-4</v>
      </c>
      <c r="F907" s="42">
        <v>7.3999999999999996E-5</v>
      </c>
      <c r="G907" s="32">
        <v>1500000</v>
      </c>
      <c r="H907" s="33">
        <f t="shared" si="84"/>
        <v>111</v>
      </c>
    </row>
    <row r="908" spans="1:8" x14ac:dyDescent="0.25">
      <c r="A908" s="15" t="s">
        <v>1316</v>
      </c>
      <c r="B908" s="16" t="s">
        <v>971</v>
      </c>
      <c r="C908" s="16" t="s">
        <v>1317</v>
      </c>
      <c r="D908" s="77" t="s">
        <v>367</v>
      </c>
      <c r="E908" s="125">
        <v>14.72</v>
      </c>
      <c r="F908" s="125"/>
      <c r="G908" s="32">
        <v>25000</v>
      </c>
      <c r="H908" s="33">
        <f>+G908*E908</f>
        <v>368000</v>
      </c>
    </row>
    <row r="909" spans="1:8" x14ac:dyDescent="0.25">
      <c r="A909" s="15" t="s">
        <v>1318</v>
      </c>
      <c r="B909" s="16" t="s">
        <v>971</v>
      </c>
      <c r="C909" s="16" t="s">
        <v>1319</v>
      </c>
      <c r="D909" s="77" t="s">
        <v>1320</v>
      </c>
      <c r="E909" s="125">
        <v>0.35181000000000001</v>
      </c>
      <c r="F909" s="125"/>
      <c r="G909" s="32">
        <v>12530350</v>
      </c>
      <c r="H909" s="33">
        <f>+G909*E909</f>
        <v>4408302.4335000003</v>
      </c>
    </row>
    <row r="910" spans="1:8" x14ac:dyDescent="0.25">
      <c r="A910" s="15" t="s">
        <v>1321</v>
      </c>
      <c r="B910" s="16" t="s">
        <v>1322</v>
      </c>
      <c r="C910" s="16" t="s">
        <v>1323</v>
      </c>
      <c r="D910" s="77" t="s">
        <v>54</v>
      </c>
      <c r="E910" s="125">
        <v>2.56</v>
      </c>
      <c r="F910" s="125"/>
      <c r="G910" s="51">
        <f>+G620</f>
        <v>466043</v>
      </c>
      <c r="H910" s="33">
        <f>+G910*E910</f>
        <v>1193070.0800000001</v>
      </c>
    </row>
    <row r="911" spans="1:8" ht="42" x14ac:dyDescent="0.25">
      <c r="A911" s="15" t="s">
        <v>1324</v>
      </c>
      <c r="B911" s="16" t="s">
        <v>1325</v>
      </c>
      <c r="C911" s="16" t="s">
        <v>1326</v>
      </c>
      <c r="D911" s="77" t="s">
        <v>60</v>
      </c>
      <c r="E911" s="125">
        <v>0.33279999999999998</v>
      </c>
      <c r="F911" s="125"/>
      <c r="G911" s="33">
        <f>+G825</f>
        <v>8550300</v>
      </c>
      <c r="H911" s="33">
        <f t="shared" ref="H911:H913" si="85">+G911*E911</f>
        <v>2845539.84</v>
      </c>
    </row>
    <row r="912" spans="1:8" ht="21" x14ac:dyDescent="0.25">
      <c r="A912" s="15" t="s">
        <v>1327</v>
      </c>
      <c r="B912" s="16" t="s">
        <v>1328</v>
      </c>
      <c r="C912" s="16" t="s">
        <v>1329</v>
      </c>
      <c r="D912" s="77" t="s">
        <v>367</v>
      </c>
      <c r="E912" s="125">
        <v>64</v>
      </c>
      <c r="F912" s="125"/>
      <c r="G912" s="32">
        <v>25000</v>
      </c>
      <c r="H912" s="33">
        <f t="shared" si="85"/>
        <v>1600000</v>
      </c>
    </row>
    <row r="913" spans="1:8" ht="21" x14ac:dyDescent="0.25">
      <c r="A913" s="15" t="s">
        <v>1330</v>
      </c>
      <c r="B913" s="16" t="s">
        <v>1331</v>
      </c>
      <c r="C913" s="16" t="s">
        <v>1332</v>
      </c>
      <c r="D913" s="77" t="s">
        <v>60</v>
      </c>
      <c r="E913" s="125">
        <v>9.6000000000000002E-2</v>
      </c>
      <c r="F913" s="125"/>
      <c r="G913" s="35">
        <f>+G873</f>
        <v>4500000</v>
      </c>
      <c r="H913" s="33">
        <f t="shared" si="85"/>
        <v>432000</v>
      </c>
    </row>
    <row r="914" spans="1:8" x14ac:dyDescent="0.25">
      <c r="A914" s="15" t="s">
        <v>1333</v>
      </c>
      <c r="B914" s="16" t="s">
        <v>1334</v>
      </c>
      <c r="C914" s="16" t="s">
        <v>1335</v>
      </c>
      <c r="D914" s="77" t="s">
        <v>1336</v>
      </c>
      <c r="E914" s="125">
        <v>32</v>
      </c>
      <c r="F914" s="125"/>
      <c r="G914" s="50">
        <v>25000</v>
      </c>
      <c r="H914" s="33">
        <f>+G914*E914</f>
        <v>800000</v>
      </c>
    </row>
    <row r="915" spans="1:8" x14ac:dyDescent="0.25">
      <c r="A915" s="26"/>
      <c r="B915" s="26"/>
      <c r="C915" s="46" t="s">
        <v>1337</v>
      </c>
      <c r="D915" s="127"/>
      <c r="E915" s="127"/>
      <c r="F915" s="127"/>
      <c r="G915" s="33"/>
      <c r="H915" s="33">
        <f>G915*F915</f>
        <v>0</v>
      </c>
    </row>
    <row r="916" spans="1:8" x14ac:dyDescent="0.25">
      <c r="A916" s="15" t="s">
        <v>1338</v>
      </c>
      <c r="B916" s="16" t="s">
        <v>1339</v>
      </c>
      <c r="C916" s="16" t="s">
        <v>1340</v>
      </c>
      <c r="D916" s="77" t="s">
        <v>54</v>
      </c>
      <c r="E916" s="125">
        <v>13.56</v>
      </c>
      <c r="F916" s="125"/>
      <c r="G916" s="33"/>
      <c r="H916" s="33"/>
    </row>
    <row r="917" spans="1:8" x14ac:dyDescent="0.25">
      <c r="A917" s="17" t="s">
        <v>1341</v>
      </c>
      <c r="B917" s="18" t="s">
        <v>8</v>
      </c>
      <c r="C917" s="19" t="s">
        <v>35</v>
      </c>
      <c r="D917" s="78" t="s">
        <v>858</v>
      </c>
      <c r="E917" s="40">
        <v>4.68</v>
      </c>
      <c r="F917" s="40">
        <v>63.460799999999999</v>
      </c>
      <c r="G917" s="33">
        <f>+G891</f>
        <v>26500</v>
      </c>
      <c r="H917" s="33">
        <f t="shared" ref="H917:H938" si="86">G917*F917</f>
        <v>1681711.2</v>
      </c>
    </row>
    <row r="918" spans="1:8" x14ac:dyDescent="0.25">
      <c r="A918" s="17" t="s">
        <v>1342</v>
      </c>
      <c r="B918" s="18" t="s">
        <v>30</v>
      </c>
      <c r="C918" s="19" t="s">
        <v>15</v>
      </c>
      <c r="D918" s="78" t="s">
        <v>858</v>
      </c>
      <c r="E918" s="40">
        <v>0.37</v>
      </c>
      <c r="F918" s="40">
        <v>5.0171999999999999</v>
      </c>
      <c r="G918" s="33">
        <f>+G892</f>
        <v>0</v>
      </c>
      <c r="H918" s="33">
        <f t="shared" si="86"/>
        <v>0</v>
      </c>
    </row>
    <row r="919" spans="1:8" x14ac:dyDescent="0.25">
      <c r="A919" s="20" t="s">
        <v>1343</v>
      </c>
      <c r="B919" s="21" t="s">
        <v>1183</v>
      </c>
      <c r="C919" s="22" t="s">
        <v>304</v>
      </c>
      <c r="D919" s="79" t="s">
        <v>861</v>
      </c>
      <c r="E919" s="41">
        <v>0.08</v>
      </c>
      <c r="F919" s="41">
        <v>1.0848</v>
      </c>
      <c r="G919" s="33">
        <f>+G841</f>
        <v>500</v>
      </c>
      <c r="H919" s="33">
        <f t="shared" si="86"/>
        <v>542.4</v>
      </c>
    </row>
    <row r="920" spans="1:8" ht="33.75" x14ac:dyDescent="0.25">
      <c r="A920" s="20" t="s">
        <v>1344</v>
      </c>
      <c r="B920" s="21" t="s">
        <v>1345</v>
      </c>
      <c r="C920" s="22" t="s">
        <v>1346</v>
      </c>
      <c r="D920" s="79" t="s">
        <v>861</v>
      </c>
      <c r="E920" s="41">
        <v>0.28000000000000003</v>
      </c>
      <c r="F920" s="41">
        <v>3.7968000000000002</v>
      </c>
      <c r="G920" s="35">
        <f>+G736</f>
        <v>113021</v>
      </c>
      <c r="H920" s="33">
        <f t="shared" si="86"/>
        <v>429118.13280000002</v>
      </c>
    </row>
    <row r="921" spans="1:8" x14ac:dyDescent="0.25">
      <c r="A921" s="20" t="s">
        <v>1347</v>
      </c>
      <c r="B921" s="21" t="s">
        <v>1190</v>
      </c>
      <c r="C921" s="22" t="s">
        <v>519</v>
      </c>
      <c r="D921" s="79" t="s">
        <v>861</v>
      </c>
      <c r="E921" s="41">
        <v>0.52</v>
      </c>
      <c r="F921" s="41">
        <v>7.0511999999999997</v>
      </c>
      <c r="G921" s="33">
        <f>+G897</f>
        <v>4000</v>
      </c>
      <c r="H921" s="33">
        <f t="shared" si="86"/>
        <v>28204.799999999999</v>
      </c>
    </row>
    <row r="922" spans="1:8" ht="22.5" x14ac:dyDescent="0.25">
      <c r="A922" s="20" t="s">
        <v>1348</v>
      </c>
      <c r="B922" s="21" t="s">
        <v>1091</v>
      </c>
      <c r="C922" s="22" t="s">
        <v>497</v>
      </c>
      <c r="D922" s="79" t="s">
        <v>861</v>
      </c>
      <c r="E922" s="41">
        <v>0.02</v>
      </c>
      <c r="F922" s="41">
        <v>0.2712</v>
      </c>
      <c r="G922" s="33">
        <f>+G831</f>
        <v>22300</v>
      </c>
      <c r="H922" s="33">
        <f t="shared" si="86"/>
        <v>6047.76</v>
      </c>
    </row>
    <row r="923" spans="1:8" ht="45" x14ac:dyDescent="0.25">
      <c r="A923" s="20" t="s">
        <v>1349</v>
      </c>
      <c r="B923" s="21" t="s">
        <v>859</v>
      </c>
      <c r="C923" s="22" t="s">
        <v>860</v>
      </c>
      <c r="D923" s="79" t="s">
        <v>861</v>
      </c>
      <c r="E923" s="41">
        <v>0.08</v>
      </c>
      <c r="F923" s="41">
        <v>1.0848</v>
      </c>
      <c r="G923" s="33">
        <f>+G604</f>
        <v>314602</v>
      </c>
      <c r="H923" s="33">
        <f t="shared" si="86"/>
        <v>341280.24959999998</v>
      </c>
    </row>
    <row r="924" spans="1:8" ht="22.5" x14ac:dyDescent="0.25">
      <c r="A924" s="20" t="s">
        <v>1350</v>
      </c>
      <c r="B924" s="21" t="s">
        <v>883</v>
      </c>
      <c r="C924" s="22" t="s">
        <v>190</v>
      </c>
      <c r="D924" s="79" t="s">
        <v>861</v>
      </c>
      <c r="E924" s="41">
        <v>0.01</v>
      </c>
      <c r="F924" s="41">
        <v>0.1356</v>
      </c>
      <c r="G924" s="33">
        <f>+G898</f>
        <v>35000</v>
      </c>
      <c r="H924" s="33">
        <f t="shared" si="86"/>
        <v>4746</v>
      </c>
    </row>
    <row r="925" spans="1:8" x14ac:dyDescent="0.25">
      <c r="A925" s="23" t="s">
        <v>1351</v>
      </c>
      <c r="B925" s="24" t="s">
        <v>1352</v>
      </c>
      <c r="C925" s="25" t="s">
        <v>1353</v>
      </c>
      <c r="D925" s="80" t="s">
        <v>54</v>
      </c>
      <c r="E925" s="42">
        <v>0.31</v>
      </c>
      <c r="F925" s="42">
        <v>4.2035999999999998</v>
      </c>
      <c r="G925" s="51">
        <f>+G157</f>
        <v>566043</v>
      </c>
      <c r="H925" s="33">
        <f t="shared" si="86"/>
        <v>2379418.3547999999</v>
      </c>
    </row>
    <row r="926" spans="1:8" ht="22.5" x14ac:dyDescent="0.25">
      <c r="A926" s="23" t="s">
        <v>1354</v>
      </c>
      <c r="B926" s="24" t="s">
        <v>1355</v>
      </c>
      <c r="C926" s="25" t="s">
        <v>1356</v>
      </c>
      <c r="D926" s="80" t="s">
        <v>54</v>
      </c>
      <c r="E926" s="42">
        <v>1.4E-2</v>
      </c>
      <c r="F926" s="42">
        <v>0.18984000000000001</v>
      </c>
      <c r="G926" s="32">
        <v>0</v>
      </c>
      <c r="H926" s="33">
        <f t="shared" si="86"/>
        <v>0</v>
      </c>
    </row>
    <row r="927" spans="1:8" ht="22.5" x14ac:dyDescent="0.25">
      <c r="A927" s="23" t="s">
        <v>1357</v>
      </c>
      <c r="B927" s="24" t="s">
        <v>1358</v>
      </c>
      <c r="C927" s="25" t="s">
        <v>558</v>
      </c>
      <c r="D927" s="80" t="s">
        <v>60</v>
      </c>
      <c r="E927" s="42">
        <v>2.1999999999999999E-2</v>
      </c>
      <c r="F927" s="42">
        <v>0.29831999999999997</v>
      </c>
      <c r="G927" s="33">
        <f>+G850</f>
        <v>4500000</v>
      </c>
      <c r="H927" s="33">
        <f t="shared" si="86"/>
        <v>1342439.9999999998</v>
      </c>
    </row>
    <row r="928" spans="1:8" x14ac:dyDescent="0.25">
      <c r="A928" s="23" t="s">
        <v>1359</v>
      </c>
      <c r="B928" s="24" t="s">
        <v>1360</v>
      </c>
      <c r="C928" s="25" t="s">
        <v>1361</v>
      </c>
      <c r="D928" s="80" t="s">
        <v>60</v>
      </c>
      <c r="E928" s="42">
        <v>2E-3</v>
      </c>
      <c r="F928" s="42">
        <v>2.7119999999999998E-2</v>
      </c>
      <c r="G928" s="32">
        <v>1000000</v>
      </c>
      <c r="H928" s="33">
        <f t="shared" si="86"/>
        <v>27120</v>
      </c>
    </row>
    <row r="929" spans="1:8" x14ac:dyDescent="0.25">
      <c r="A929" s="23" t="s">
        <v>1362</v>
      </c>
      <c r="B929" s="24" t="s">
        <v>1363</v>
      </c>
      <c r="C929" s="25" t="s">
        <v>1364</v>
      </c>
      <c r="D929" s="80" t="s">
        <v>367</v>
      </c>
      <c r="E929" s="42">
        <v>0.24</v>
      </c>
      <c r="F929" s="42">
        <v>3.2544</v>
      </c>
      <c r="G929" s="32">
        <v>25000</v>
      </c>
      <c r="H929" s="33">
        <f t="shared" si="86"/>
        <v>81360</v>
      </c>
    </row>
    <row r="930" spans="1:8" ht="22.5" x14ac:dyDescent="0.25">
      <c r="A930" s="23" t="s">
        <v>1365</v>
      </c>
      <c r="B930" s="24" t="s">
        <v>1206</v>
      </c>
      <c r="C930" s="25" t="s">
        <v>1207</v>
      </c>
      <c r="D930" s="80" t="s">
        <v>60</v>
      </c>
      <c r="E930" s="42">
        <v>0.03</v>
      </c>
      <c r="F930" s="42">
        <v>0.40679999999999999</v>
      </c>
      <c r="G930" s="33">
        <f>+G853</f>
        <v>4500000</v>
      </c>
      <c r="H930" s="33">
        <f t="shared" si="86"/>
        <v>1830600</v>
      </c>
    </row>
    <row r="931" spans="1:8" ht="22.5" x14ac:dyDescent="0.25">
      <c r="A931" s="23" t="s">
        <v>1366</v>
      </c>
      <c r="B931" s="24" t="s">
        <v>1367</v>
      </c>
      <c r="C931" s="25" t="s">
        <v>1368</v>
      </c>
      <c r="D931" s="80" t="s">
        <v>524</v>
      </c>
      <c r="E931" s="42">
        <v>0.2</v>
      </c>
      <c r="F931" s="42">
        <v>2.7120000000000002</v>
      </c>
      <c r="G931" s="32">
        <v>25000</v>
      </c>
      <c r="H931" s="33">
        <f t="shared" si="86"/>
        <v>67800</v>
      </c>
    </row>
    <row r="932" spans="1:8" ht="22.5" x14ac:dyDescent="0.25">
      <c r="A932" s="23" t="s">
        <v>1369</v>
      </c>
      <c r="B932" s="24" t="s">
        <v>1370</v>
      </c>
      <c r="C932" s="25" t="s">
        <v>1371</v>
      </c>
      <c r="D932" s="80" t="s">
        <v>60</v>
      </c>
      <c r="E932" s="42">
        <v>4.0000000000000001E-3</v>
      </c>
      <c r="F932" s="42">
        <v>5.4239999999999997E-2</v>
      </c>
      <c r="G932" s="32">
        <v>1500000</v>
      </c>
      <c r="H932" s="33">
        <f t="shared" si="86"/>
        <v>81360</v>
      </c>
    </row>
    <row r="933" spans="1:8" x14ac:dyDescent="0.25">
      <c r="A933" s="23" t="s">
        <v>1372</v>
      </c>
      <c r="B933" s="24" t="s">
        <v>895</v>
      </c>
      <c r="C933" s="25" t="s">
        <v>896</v>
      </c>
      <c r="D933" s="80" t="s">
        <v>367</v>
      </c>
      <c r="E933" s="42">
        <v>1.73</v>
      </c>
      <c r="F933" s="42">
        <v>23.4588</v>
      </c>
      <c r="G933" s="33">
        <f>+G855</f>
        <v>2500</v>
      </c>
      <c r="H933" s="33">
        <f t="shared" si="86"/>
        <v>58647</v>
      </c>
    </row>
    <row r="934" spans="1:8" ht="56.25" x14ac:dyDescent="0.25">
      <c r="A934" s="23" t="s">
        <v>1373</v>
      </c>
      <c r="B934" s="24" t="s">
        <v>1374</v>
      </c>
      <c r="C934" s="25" t="s">
        <v>1375</v>
      </c>
      <c r="D934" s="80" t="s">
        <v>60</v>
      </c>
      <c r="E934" s="42">
        <v>3.0000000000000001E-3</v>
      </c>
      <c r="F934" s="42">
        <v>4.0680000000000001E-2</v>
      </c>
      <c r="G934" s="32">
        <v>14000000</v>
      </c>
      <c r="H934" s="33">
        <f t="shared" si="86"/>
        <v>569520</v>
      </c>
    </row>
    <row r="935" spans="1:8" x14ac:dyDescent="0.25">
      <c r="A935" s="23" t="s">
        <v>1376</v>
      </c>
      <c r="B935" s="24" t="s">
        <v>1110</v>
      </c>
      <c r="C935" s="25" t="s">
        <v>405</v>
      </c>
      <c r="D935" s="80" t="s">
        <v>60</v>
      </c>
      <c r="E935" s="42">
        <v>1.0000000000000001E-5</v>
      </c>
      <c r="F935" s="42">
        <v>1.36E-4</v>
      </c>
      <c r="G935" s="33">
        <f>+G835</f>
        <v>22500000</v>
      </c>
      <c r="H935" s="33">
        <f t="shared" si="86"/>
        <v>3060</v>
      </c>
    </row>
    <row r="936" spans="1:8" ht="22.5" x14ac:dyDescent="0.25">
      <c r="A936" s="23" t="s">
        <v>1377</v>
      </c>
      <c r="B936" s="24" t="s">
        <v>901</v>
      </c>
      <c r="C936" s="25" t="s">
        <v>902</v>
      </c>
      <c r="D936" s="80" t="s">
        <v>361</v>
      </c>
      <c r="E936" s="42">
        <v>0.126</v>
      </c>
      <c r="F936" s="42">
        <v>1.7085999999999999</v>
      </c>
      <c r="G936" s="33">
        <f>+G857</f>
        <v>3500000</v>
      </c>
      <c r="H936" s="33">
        <f t="shared" si="86"/>
        <v>5980100</v>
      </c>
    </row>
    <row r="937" spans="1:8" ht="33.75" x14ac:dyDescent="0.25">
      <c r="A937" s="23" t="s">
        <v>1378</v>
      </c>
      <c r="B937" s="24" t="s">
        <v>910</v>
      </c>
      <c r="C937" s="25" t="s">
        <v>911</v>
      </c>
      <c r="D937" s="80" t="s">
        <v>54</v>
      </c>
      <c r="E937" s="42">
        <v>5.0000000000000001E-3</v>
      </c>
      <c r="F937" s="42">
        <v>6.7799999999999999E-2</v>
      </c>
      <c r="G937" s="33">
        <f>+G774</f>
        <v>2350000</v>
      </c>
      <c r="H937" s="33">
        <f t="shared" si="86"/>
        <v>159330</v>
      </c>
    </row>
    <row r="938" spans="1:8" x14ac:dyDescent="0.25">
      <c r="A938" s="23" t="s">
        <v>1379</v>
      </c>
      <c r="B938" s="24" t="s">
        <v>1380</v>
      </c>
      <c r="C938" s="25" t="s">
        <v>1381</v>
      </c>
      <c r="D938" s="80" t="s">
        <v>60</v>
      </c>
      <c r="E938" s="42">
        <v>5.0000000000000001E-3</v>
      </c>
      <c r="F938" s="42">
        <v>6.7799999999999999E-2</v>
      </c>
      <c r="G938" s="32">
        <v>15000</v>
      </c>
      <c r="H938" s="33">
        <f t="shared" si="86"/>
        <v>1017</v>
      </c>
    </row>
    <row r="939" spans="1:8" ht="21" x14ac:dyDescent="0.25">
      <c r="A939" s="15" t="s">
        <v>1382</v>
      </c>
      <c r="B939" s="16" t="s">
        <v>1383</v>
      </c>
      <c r="C939" s="16" t="s">
        <v>1384</v>
      </c>
      <c r="D939" s="77" t="s">
        <v>164</v>
      </c>
      <c r="E939" s="125">
        <v>12</v>
      </c>
      <c r="F939" s="125"/>
      <c r="G939" s="32">
        <v>4032831</v>
      </c>
      <c r="H939" s="33">
        <f>+G939*E939</f>
        <v>48393972</v>
      </c>
    </row>
    <row r="940" spans="1:8" ht="21" x14ac:dyDescent="0.25">
      <c r="A940" s="15" t="s">
        <v>1385</v>
      </c>
      <c r="B940" s="16" t="s">
        <v>1386</v>
      </c>
      <c r="C940" s="16" t="s">
        <v>1387</v>
      </c>
      <c r="D940" s="77" t="s">
        <v>107</v>
      </c>
      <c r="E940" s="125">
        <v>0.06</v>
      </c>
      <c r="F940" s="125"/>
      <c r="G940" s="33"/>
      <c r="H940" s="33"/>
    </row>
    <row r="941" spans="1:8" x14ac:dyDescent="0.25">
      <c r="A941" s="17" t="s">
        <v>1388</v>
      </c>
      <c r="B941" s="18" t="s">
        <v>8</v>
      </c>
      <c r="C941" s="19" t="s">
        <v>35</v>
      </c>
      <c r="D941" s="78" t="s">
        <v>858</v>
      </c>
      <c r="E941" s="40">
        <v>273.27999999999997</v>
      </c>
      <c r="F941" s="40">
        <v>16.396799999999999</v>
      </c>
      <c r="G941" s="33">
        <f>+G917</f>
        <v>26500</v>
      </c>
      <c r="H941" s="33">
        <f t="shared" ref="H941:H945" si="87">G941*F941</f>
        <v>434515.19999999995</v>
      </c>
    </row>
    <row r="942" spans="1:8" x14ac:dyDescent="0.25">
      <c r="A942" s="17" t="s">
        <v>1389</v>
      </c>
      <c r="B942" s="18" t="s">
        <v>30</v>
      </c>
      <c r="C942" s="19" t="s">
        <v>15</v>
      </c>
      <c r="D942" s="78" t="s">
        <v>858</v>
      </c>
      <c r="E942" s="40">
        <v>91.84</v>
      </c>
      <c r="F942" s="40">
        <v>5.5103999999999997</v>
      </c>
      <c r="G942" s="33">
        <f>+G918</f>
        <v>0</v>
      </c>
      <c r="H942" s="33">
        <f t="shared" si="87"/>
        <v>0</v>
      </c>
    </row>
    <row r="943" spans="1:8" ht="33.75" x14ac:dyDescent="0.25">
      <c r="A943" s="20" t="s">
        <v>1390</v>
      </c>
      <c r="B943" s="21" t="s">
        <v>1391</v>
      </c>
      <c r="C943" s="22" t="s">
        <v>1392</v>
      </c>
      <c r="D943" s="79" t="s">
        <v>861</v>
      </c>
      <c r="E943" s="41">
        <v>91.84</v>
      </c>
      <c r="F943" s="41">
        <v>5.5103999999999997</v>
      </c>
      <c r="G943" s="35">
        <f>+G920</f>
        <v>113021</v>
      </c>
      <c r="H943" s="33">
        <f t="shared" si="87"/>
        <v>622790.91839999997</v>
      </c>
    </row>
    <row r="944" spans="1:8" ht="22.5" x14ac:dyDescent="0.25">
      <c r="A944" s="23" t="s">
        <v>1393</v>
      </c>
      <c r="B944" s="24" t="s">
        <v>1017</v>
      </c>
      <c r="C944" s="25" t="s">
        <v>1018</v>
      </c>
      <c r="D944" s="80" t="s">
        <v>54</v>
      </c>
      <c r="E944" s="42">
        <v>8.6</v>
      </c>
      <c r="F944" s="42">
        <v>0.51600000000000001</v>
      </c>
      <c r="G944" s="33">
        <f>+G899</f>
        <v>0</v>
      </c>
      <c r="H944" s="33">
        <f t="shared" si="87"/>
        <v>0</v>
      </c>
    </row>
    <row r="945" spans="1:8" x14ac:dyDescent="0.25">
      <c r="A945" s="23" t="s">
        <v>1394</v>
      </c>
      <c r="B945" s="24" t="s">
        <v>1395</v>
      </c>
      <c r="C945" s="25" t="s">
        <v>1396</v>
      </c>
      <c r="D945" s="80" t="s">
        <v>524</v>
      </c>
      <c r="E945" s="42">
        <v>20</v>
      </c>
      <c r="F945" s="42">
        <v>1.2</v>
      </c>
      <c r="G945" s="32">
        <v>1258</v>
      </c>
      <c r="H945" s="33">
        <f t="shared" si="87"/>
        <v>1509.6</v>
      </c>
    </row>
    <row r="946" spans="1:8" ht="21" x14ac:dyDescent="0.25">
      <c r="A946" s="15" t="s">
        <v>1397</v>
      </c>
      <c r="B946" s="16" t="s">
        <v>1398</v>
      </c>
      <c r="C946" s="16" t="s">
        <v>1399</v>
      </c>
      <c r="D946" s="77" t="s">
        <v>54</v>
      </c>
      <c r="E946" s="125">
        <v>6</v>
      </c>
      <c r="F946" s="125"/>
      <c r="G946" s="32">
        <v>125300</v>
      </c>
      <c r="H946" s="33">
        <f>+G946*E946</f>
        <v>751800</v>
      </c>
    </row>
    <row r="947" spans="1:8" ht="31.5" x14ac:dyDescent="0.25">
      <c r="A947" s="15" t="s">
        <v>1400</v>
      </c>
      <c r="B947" s="16" t="s">
        <v>1049</v>
      </c>
      <c r="C947" s="16" t="s">
        <v>1050</v>
      </c>
      <c r="D947" s="77" t="s">
        <v>54</v>
      </c>
      <c r="E947" s="125">
        <v>0.9</v>
      </c>
      <c r="F947" s="125"/>
      <c r="G947" s="33"/>
      <c r="H947" s="33"/>
    </row>
    <row r="948" spans="1:8" x14ac:dyDescent="0.25">
      <c r="A948" s="17" t="s">
        <v>1401</v>
      </c>
      <c r="B948" s="18" t="s">
        <v>8</v>
      </c>
      <c r="C948" s="19" t="s">
        <v>35</v>
      </c>
      <c r="D948" s="78" t="s">
        <v>858</v>
      </c>
      <c r="E948" s="40">
        <v>22.94</v>
      </c>
      <c r="F948" s="40">
        <v>20.646000000000001</v>
      </c>
      <c r="G948" s="33">
        <f>+G941</f>
        <v>26500</v>
      </c>
      <c r="H948" s="33">
        <f t="shared" ref="H948:H963" si="88">G948*F948</f>
        <v>547119</v>
      </c>
    </row>
    <row r="949" spans="1:8" x14ac:dyDescent="0.25">
      <c r="A949" s="17" t="s">
        <v>1402</v>
      </c>
      <c r="B949" s="18" t="s">
        <v>30</v>
      </c>
      <c r="C949" s="19" t="s">
        <v>15</v>
      </c>
      <c r="D949" s="78" t="s">
        <v>858</v>
      </c>
      <c r="E949" s="40">
        <v>0.28999999999999998</v>
      </c>
      <c r="F949" s="40">
        <v>0.26100000000000001</v>
      </c>
      <c r="G949" s="33">
        <f>+G942</f>
        <v>0</v>
      </c>
      <c r="H949" s="33">
        <f t="shared" si="88"/>
        <v>0</v>
      </c>
    </row>
    <row r="950" spans="1:8" ht="33.75" x14ac:dyDescent="0.25">
      <c r="A950" s="20" t="s">
        <v>1403</v>
      </c>
      <c r="B950" s="21" t="s">
        <v>875</v>
      </c>
      <c r="C950" s="22" t="s">
        <v>314</v>
      </c>
      <c r="D950" s="79" t="s">
        <v>861</v>
      </c>
      <c r="E950" s="41">
        <v>0.12</v>
      </c>
      <c r="F950" s="41">
        <v>0.108</v>
      </c>
      <c r="G950" s="33">
        <f>+G895</f>
        <v>113021</v>
      </c>
      <c r="H950" s="33">
        <f t="shared" si="88"/>
        <v>12206.268</v>
      </c>
    </row>
    <row r="951" spans="1:8" x14ac:dyDescent="0.25">
      <c r="A951" s="20" t="s">
        <v>1404</v>
      </c>
      <c r="B951" s="21" t="s">
        <v>1055</v>
      </c>
      <c r="C951" s="22" t="s">
        <v>1056</v>
      </c>
      <c r="D951" s="79" t="s">
        <v>861</v>
      </c>
      <c r="E951" s="41">
        <v>1.92</v>
      </c>
      <c r="F951" s="41">
        <v>1.728</v>
      </c>
      <c r="G951" s="33">
        <f>+G830</f>
        <v>25000</v>
      </c>
      <c r="H951" s="33">
        <f t="shared" si="88"/>
        <v>43200</v>
      </c>
    </row>
    <row r="952" spans="1:8" ht="22.5" x14ac:dyDescent="0.25">
      <c r="A952" s="20" t="s">
        <v>1405</v>
      </c>
      <c r="B952" s="21" t="s">
        <v>966</v>
      </c>
      <c r="C952" s="22" t="s">
        <v>190</v>
      </c>
      <c r="D952" s="79" t="s">
        <v>861</v>
      </c>
      <c r="E952" s="41">
        <v>0.17</v>
      </c>
      <c r="F952" s="41">
        <v>0.153</v>
      </c>
      <c r="G952" s="33">
        <f>+G924</f>
        <v>35000</v>
      </c>
      <c r="H952" s="33">
        <f t="shared" si="88"/>
        <v>5355</v>
      </c>
    </row>
    <row r="953" spans="1:8" ht="22.5" x14ac:dyDescent="0.25">
      <c r="A953" s="20" t="s">
        <v>1406</v>
      </c>
      <c r="B953" s="21" t="s">
        <v>1059</v>
      </c>
      <c r="C953" s="22" t="s">
        <v>1060</v>
      </c>
      <c r="D953" s="79" t="s">
        <v>861</v>
      </c>
      <c r="E953" s="41">
        <v>0.21</v>
      </c>
      <c r="F953" s="41">
        <v>0.189</v>
      </c>
      <c r="G953" s="33">
        <f>+G814</f>
        <v>500</v>
      </c>
      <c r="H953" s="33">
        <f t="shared" si="88"/>
        <v>94.5</v>
      </c>
    </row>
    <row r="954" spans="1:8" ht="22.5" x14ac:dyDescent="0.25">
      <c r="A954" s="23" t="s">
        <v>1407</v>
      </c>
      <c r="B954" s="24" t="s">
        <v>1408</v>
      </c>
      <c r="C954" s="25" t="s">
        <v>1409</v>
      </c>
      <c r="D954" s="80" t="s">
        <v>54</v>
      </c>
      <c r="E954" s="42">
        <v>1.02</v>
      </c>
      <c r="F954" s="42">
        <v>0.91800000000000004</v>
      </c>
      <c r="G954" s="51">
        <f>+G753</f>
        <v>605855.9</v>
      </c>
      <c r="H954" s="33">
        <f t="shared" si="88"/>
        <v>556175.71620000002</v>
      </c>
    </row>
    <row r="955" spans="1:8" x14ac:dyDescent="0.25">
      <c r="A955" s="23" t="s">
        <v>1410</v>
      </c>
      <c r="B955" s="24" t="s">
        <v>1062</v>
      </c>
      <c r="C955" s="25" t="s">
        <v>194</v>
      </c>
      <c r="D955" s="80" t="s">
        <v>54</v>
      </c>
      <c r="E955" s="42">
        <v>7.0000000000000001E-3</v>
      </c>
      <c r="F955" s="42">
        <v>6.3E-3</v>
      </c>
      <c r="G955" s="33">
        <f>+G848</f>
        <v>0</v>
      </c>
      <c r="H955" s="33">
        <f t="shared" si="88"/>
        <v>0</v>
      </c>
    </row>
    <row r="956" spans="1:8" ht="22.5" x14ac:dyDescent="0.25">
      <c r="A956" s="23" t="s">
        <v>1411</v>
      </c>
      <c r="B956" s="24" t="s">
        <v>1064</v>
      </c>
      <c r="C956" s="25" t="s">
        <v>1065</v>
      </c>
      <c r="D956" s="80" t="s">
        <v>54</v>
      </c>
      <c r="E956" s="42">
        <v>0.08</v>
      </c>
      <c r="F956" s="42">
        <v>7.1999999999999995E-2</v>
      </c>
      <c r="G956" s="33">
        <f t="shared" ref="G956:G961" si="89">+G817</f>
        <v>0</v>
      </c>
      <c r="H956" s="33">
        <f t="shared" si="88"/>
        <v>0</v>
      </c>
    </row>
    <row r="957" spans="1:8" x14ac:dyDescent="0.25">
      <c r="A957" s="23" t="s">
        <v>1412</v>
      </c>
      <c r="B957" s="24" t="s">
        <v>890</v>
      </c>
      <c r="C957" s="25" t="s">
        <v>250</v>
      </c>
      <c r="D957" s="80" t="s">
        <v>60</v>
      </c>
      <c r="E957" s="42">
        <v>2.8E-3</v>
      </c>
      <c r="F957" s="42">
        <v>2.5200000000000001E-3</v>
      </c>
      <c r="G957" s="33">
        <f t="shared" si="89"/>
        <v>11500000</v>
      </c>
      <c r="H957" s="33">
        <f t="shared" si="88"/>
        <v>28980</v>
      </c>
    </row>
    <row r="958" spans="1:8" ht="22.5" x14ac:dyDescent="0.25">
      <c r="A958" s="23" t="s">
        <v>1413</v>
      </c>
      <c r="B958" s="24" t="s">
        <v>1071</v>
      </c>
      <c r="C958" s="25" t="s">
        <v>1072</v>
      </c>
      <c r="D958" s="80" t="s">
        <v>60</v>
      </c>
      <c r="E958" s="42">
        <v>2.3999999999999998E-3</v>
      </c>
      <c r="F958" s="42">
        <v>2.16E-3</v>
      </c>
      <c r="G958" s="33">
        <f t="shared" si="89"/>
        <v>3000000</v>
      </c>
      <c r="H958" s="33">
        <f t="shared" si="88"/>
        <v>6480</v>
      </c>
    </row>
    <row r="959" spans="1:8" ht="22.5" x14ac:dyDescent="0.25">
      <c r="A959" s="23" t="s">
        <v>1414</v>
      </c>
      <c r="B959" s="24" t="s">
        <v>1074</v>
      </c>
      <c r="C959" s="25" t="s">
        <v>1075</v>
      </c>
      <c r="D959" s="80" t="s">
        <v>60</v>
      </c>
      <c r="E959" s="42">
        <v>3.0000000000000001E-3</v>
      </c>
      <c r="F959" s="42">
        <v>2.7000000000000001E-3</v>
      </c>
      <c r="G959" s="33">
        <f t="shared" si="89"/>
        <v>3500000</v>
      </c>
      <c r="H959" s="33">
        <f t="shared" si="88"/>
        <v>9450</v>
      </c>
    </row>
    <row r="960" spans="1:8" ht="33.75" x14ac:dyDescent="0.25">
      <c r="A960" s="23" t="s">
        <v>1415</v>
      </c>
      <c r="B960" s="24" t="s">
        <v>904</v>
      </c>
      <c r="C960" s="25" t="s">
        <v>905</v>
      </c>
      <c r="D960" s="80" t="s">
        <v>54</v>
      </c>
      <c r="E960" s="42">
        <v>0.1</v>
      </c>
      <c r="F960" s="42">
        <v>0.09</v>
      </c>
      <c r="G960" s="33">
        <f t="shared" si="89"/>
        <v>2350000</v>
      </c>
      <c r="H960" s="33">
        <f t="shared" si="88"/>
        <v>211500</v>
      </c>
    </row>
    <row r="961" spans="1:8" ht="33.75" x14ac:dyDescent="0.25">
      <c r="A961" s="23" t="s">
        <v>1416</v>
      </c>
      <c r="B961" s="24" t="s">
        <v>1078</v>
      </c>
      <c r="C961" s="25" t="s">
        <v>1079</v>
      </c>
      <c r="D961" s="80" t="s">
        <v>54</v>
      </c>
      <c r="E961" s="42">
        <v>7.0000000000000007E-2</v>
      </c>
      <c r="F961" s="42">
        <v>6.3E-2</v>
      </c>
      <c r="G961" s="33">
        <f t="shared" si="89"/>
        <v>2350000</v>
      </c>
      <c r="H961" s="33">
        <f t="shared" si="88"/>
        <v>148050</v>
      </c>
    </row>
    <row r="962" spans="1:8" x14ac:dyDescent="0.25">
      <c r="A962" s="23" t="s">
        <v>1417</v>
      </c>
      <c r="B962" s="24" t="s">
        <v>1081</v>
      </c>
      <c r="C962" s="25" t="s">
        <v>1082</v>
      </c>
      <c r="D962" s="80" t="s">
        <v>164</v>
      </c>
      <c r="E962" s="42">
        <v>2</v>
      </c>
      <c r="F962" s="42">
        <v>1.8</v>
      </c>
      <c r="G962" s="33">
        <f>+G836</f>
        <v>15000</v>
      </c>
      <c r="H962" s="33">
        <f t="shared" si="88"/>
        <v>27000</v>
      </c>
    </row>
    <row r="963" spans="1:8" x14ac:dyDescent="0.25">
      <c r="A963" s="23" t="s">
        <v>1418</v>
      </c>
      <c r="B963" s="24" t="s">
        <v>1084</v>
      </c>
      <c r="C963" s="25" t="s">
        <v>366</v>
      </c>
      <c r="D963" s="80" t="s">
        <v>367</v>
      </c>
      <c r="E963" s="42">
        <v>3</v>
      </c>
      <c r="F963" s="42">
        <v>2.7</v>
      </c>
      <c r="G963" s="33">
        <f>+G824</f>
        <v>23000</v>
      </c>
      <c r="H963" s="33">
        <f t="shared" si="88"/>
        <v>62100.000000000007</v>
      </c>
    </row>
    <row r="964" spans="1:8" ht="31.5" x14ac:dyDescent="0.25">
      <c r="A964" s="15" t="s">
        <v>1419</v>
      </c>
      <c r="B964" s="16" t="s">
        <v>1049</v>
      </c>
      <c r="C964" s="16" t="s">
        <v>1420</v>
      </c>
      <c r="D964" s="77" t="s">
        <v>54</v>
      </c>
      <c r="E964" s="125">
        <v>0.3</v>
      </c>
      <c r="F964" s="125"/>
      <c r="G964" s="33"/>
      <c r="H964" s="33"/>
    </row>
    <row r="965" spans="1:8" x14ac:dyDescent="0.25">
      <c r="A965" s="17" t="s">
        <v>1421</v>
      </c>
      <c r="B965" s="18" t="s">
        <v>8</v>
      </c>
      <c r="C965" s="19" t="s">
        <v>35</v>
      </c>
      <c r="D965" s="78" t="s">
        <v>858</v>
      </c>
      <c r="E965" s="40">
        <v>22.94</v>
      </c>
      <c r="F965" s="40">
        <v>6.8819999999999997</v>
      </c>
      <c r="G965" s="33">
        <f t="shared" ref="G965:G970" si="90">+G948</f>
        <v>26500</v>
      </c>
      <c r="H965" s="33">
        <f t="shared" ref="H965:H980" si="91">G965*F965</f>
        <v>182373</v>
      </c>
    </row>
    <row r="966" spans="1:8" x14ac:dyDescent="0.25">
      <c r="A966" s="17" t="s">
        <v>1422</v>
      </c>
      <c r="B966" s="18" t="s">
        <v>30</v>
      </c>
      <c r="C966" s="19" t="s">
        <v>15</v>
      </c>
      <c r="D966" s="78" t="s">
        <v>858</v>
      </c>
      <c r="E966" s="40">
        <v>0.28999999999999998</v>
      </c>
      <c r="F966" s="40">
        <v>8.6999999999999994E-2</v>
      </c>
      <c r="G966" s="33">
        <f t="shared" si="90"/>
        <v>0</v>
      </c>
      <c r="H966" s="33">
        <f t="shared" si="91"/>
        <v>0</v>
      </c>
    </row>
    <row r="967" spans="1:8" ht="33.75" x14ac:dyDescent="0.25">
      <c r="A967" s="20" t="s">
        <v>1423</v>
      </c>
      <c r="B967" s="21" t="s">
        <v>875</v>
      </c>
      <c r="C967" s="22" t="s">
        <v>314</v>
      </c>
      <c r="D967" s="79" t="s">
        <v>861</v>
      </c>
      <c r="E967" s="41">
        <v>0.12</v>
      </c>
      <c r="F967" s="41">
        <v>3.5999999999999997E-2</v>
      </c>
      <c r="G967" s="33">
        <f t="shared" si="90"/>
        <v>113021</v>
      </c>
      <c r="H967" s="33">
        <f t="shared" si="91"/>
        <v>4068.7559999999999</v>
      </c>
    </row>
    <row r="968" spans="1:8" x14ac:dyDescent="0.25">
      <c r="A968" s="20" t="s">
        <v>1424</v>
      </c>
      <c r="B968" s="21" t="s">
        <v>1055</v>
      </c>
      <c r="C968" s="22" t="s">
        <v>1056</v>
      </c>
      <c r="D968" s="79" t="s">
        <v>861</v>
      </c>
      <c r="E968" s="41">
        <v>1.92</v>
      </c>
      <c r="F968" s="41">
        <v>0.57599999999999996</v>
      </c>
      <c r="G968" s="33">
        <f t="shared" si="90"/>
        <v>25000</v>
      </c>
      <c r="H968" s="33">
        <f t="shared" si="91"/>
        <v>14399.999999999998</v>
      </c>
    </row>
    <row r="969" spans="1:8" ht="22.5" x14ac:dyDescent="0.25">
      <c r="A969" s="20" t="s">
        <v>1425</v>
      </c>
      <c r="B969" s="21" t="s">
        <v>966</v>
      </c>
      <c r="C969" s="22" t="s">
        <v>190</v>
      </c>
      <c r="D969" s="79" t="s">
        <v>861</v>
      </c>
      <c r="E969" s="41">
        <v>0.17</v>
      </c>
      <c r="F969" s="41">
        <v>5.0999999999999997E-2</v>
      </c>
      <c r="G969" s="33">
        <f t="shared" si="90"/>
        <v>35000</v>
      </c>
      <c r="H969" s="33">
        <f t="shared" si="91"/>
        <v>1784.9999999999998</v>
      </c>
    </row>
    <row r="970" spans="1:8" ht="22.5" x14ac:dyDescent="0.25">
      <c r="A970" s="20" t="s">
        <v>1426</v>
      </c>
      <c r="B970" s="21" t="s">
        <v>1059</v>
      </c>
      <c r="C970" s="22" t="s">
        <v>1060</v>
      </c>
      <c r="D970" s="79" t="s">
        <v>861</v>
      </c>
      <c r="E970" s="41">
        <v>0.21</v>
      </c>
      <c r="F970" s="41">
        <v>6.3E-2</v>
      </c>
      <c r="G970" s="33">
        <f t="shared" si="90"/>
        <v>500</v>
      </c>
      <c r="H970" s="33">
        <f t="shared" si="91"/>
        <v>31.5</v>
      </c>
    </row>
    <row r="971" spans="1:8" ht="22.5" x14ac:dyDescent="0.25">
      <c r="A971" s="23" t="s">
        <v>1427</v>
      </c>
      <c r="B971" s="24" t="s">
        <v>1428</v>
      </c>
      <c r="C971" s="25" t="s">
        <v>1429</v>
      </c>
      <c r="D971" s="80" t="s">
        <v>54</v>
      </c>
      <c r="E971" s="42">
        <v>1.02</v>
      </c>
      <c r="F971" s="42">
        <v>0.30599999999999999</v>
      </c>
      <c r="G971" s="51">
        <f>+G925</f>
        <v>566043</v>
      </c>
      <c r="H971" s="33">
        <f t="shared" si="91"/>
        <v>173209.158</v>
      </c>
    </row>
    <row r="972" spans="1:8" x14ac:dyDescent="0.25">
      <c r="A972" s="23" t="s">
        <v>1430</v>
      </c>
      <c r="B972" s="24" t="s">
        <v>1062</v>
      </c>
      <c r="C972" s="25" t="s">
        <v>194</v>
      </c>
      <c r="D972" s="80" t="s">
        <v>54</v>
      </c>
      <c r="E972" s="42">
        <v>7.0000000000000001E-3</v>
      </c>
      <c r="F972" s="42">
        <v>2.0999999999999999E-3</v>
      </c>
      <c r="G972" s="33">
        <f t="shared" ref="G972:G980" si="92">+G955</f>
        <v>0</v>
      </c>
      <c r="H972" s="33">
        <f t="shared" si="91"/>
        <v>0</v>
      </c>
    </row>
    <row r="973" spans="1:8" ht="22.5" x14ac:dyDescent="0.25">
      <c r="A973" s="23" t="s">
        <v>1431</v>
      </c>
      <c r="B973" s="24" t="s">
        <v>1064</v>
      </c>
      <c r="C973" s="25" t="s">
        <v>1065</v>
      </c>
      <c r="D973" s="80" t="s">
        <v>54</v>
      </c>
      <c r="E973" s="42">
        <v>0.08</v>
      </c>
      <c r="F973" s="42">
        <v>2.4E-2</v>
      </c>
      <c r="G973" s="33">
        <f t="shared" si="92"/>
        <v>0</v>
      </c>
      <c r="H973" s="33">
        <f t="shared" si="91"/>
        <v>0</v>
      </c>
    </row>
    <row r="974" spans="1:8" x14ac:dyDescent="0.25">
      <c r="A974" s="23" t="s">
        <v>1432</v>
      </c>
      <c r="B974" s="24" t="s">
        <v>890</v>
      </c>
      <c r="C974" s="25" t="s">
        <v>250</v>
      </c>
      <c r="D974" s="80" t="s">
        <v>60</v>
      </c>
      <c r="E974" s="42">
        <v>2.8E-3</v>
      </c>
      <c r="F974" s="42">
        <v>8.4000000000000003E-4</v>
      </c>
      <c r="G974" s="33">
        <f t="shared" si="92"/>
        <v>11500000</v>
      </c>
      <c r="H974" s="33">
        <f t="shared" si="91"/>
        <v>9660</v>
      </c>
    </row>
    <row r="975" spans="1:8" ht="22.5" x14ac:dyDescent="0.25">
      <c r="A975" s="23" t="s">
        <v>1433</v>
      </c>
      <c r="B975" s="24" t="s">
        <v>1071</v>
      </c>
      <c r="C975" s="25" t="s">
        <v>1072</v>
      </c>
      <c r="D975" s="80" t="s">
        <v>60</v>
      </c>
      <c r="E975" s="42">
        <v>2.3999999999999998E-3</v>
      </c>
      <c r="F975" s="42">
        <v>7.2000000000000005E-4</v>
      </c>
      <c r="G975" s="33">
        <f t="shared" si="92"/>
        <v>3000000</v>
      </c>
      <c r="H975" s="33">
        <f t="shared" si="91"/>
        <v>2160</v>
      </c>
    </row>
    <row r="976" spans="1:8" ht="22.5" x14ac:dyDescent="0.25">
      <c r="A976" s="23" t="s">
        <v>1434</v>
      </c>
      <c r="B976" s="24" t="s">
        <v>1074</v>
      </c>
      <c r="C976" s="25" t="s">
        <v>1075</v>
      </c>
      <c r="D976" s="80" t="s">
        <v>60</v>
      </c>
      <c r="E976" s="42">
        <v>3.0000000000000001E-3</v>
      </c>
      <c r="F976" s="42">
        <v>8.9999999999999998E-4</v>
      </c>
      <c r="G976" s="33">
        <f t="shared" si="92"/>
        <v>3500000</v>
      </c>
      <c r="H976" s="33">
        <f t="shared" si="91"/>
        <v>3150</v>
      </c>
    </row>
    <row r="977" spans="1:8" ht="33.75" x14ac:dyDescent="0.25">
      <c r="A977" s="23" t="s">
        <v>1435</v>
      </c>
      <c r="B977" s="24" t="s">
        <v>904</v>
      </c>
      <c r="C977" s="25" t="s">
        <v>905</v>
      </c>
      <c r="D977" s="80" t="s">
        <v>54</v>
      </c>
      <c r="E977" s="42">
        <v>0.1</v>
      </c>
      <c r="F977" s="42">
        <v>0.03</v>
      </c>
      <c r="G977" s="33">
        <f t="shared" si="92"/>
        <v>2350000</v>
      </c>
      <c r="H977" s="33">
        <f t="shared" si="91"/>
        <v>70500</v>
      </c>
    </row>
    <row r="978" spans="1:8" ht="33.75" x14ac:dyDescent="0.25">
      <c r="A978" s="23" t="s">
        <v>1436</v>
      </c>
      <c r="B978" s="24" t="s">
        <v>1078</v>
      </c>
      <c r="C978" s="25" t="s">
        <v>1079</v>
      </c>
      <c r="D978" s="80" t="s">
        <v>54</v>
      </c>
      <c r="E978" s="42">
        <v>7.0000000000000007E-2</v>
      </c>
      <c r="F978" s="42">
        <v>2.1000000000000001E-2</v>
      </c>
      <c r="G978" s="33">
        <f t="shared" si="92"/>
        <v>2350000</v>
      </c>
      <c r="H978" s="33">
        <f t="shared" si="91"/>
        <v>49350</v>
      </c>
    </row>
    <row r="979" spans="1:8" x14ac:dyDescent="0.25">
      <c r="A979" s="23" t="s">
        <v>1437</v>
      </c>
      <c r="B979" s="24" t="s">
        <v>1081</v>
      </c>
      <c r="C979" s="25" t="s">
        <v>1082</v>
      </c>
      <c r="D979" s="80" t="s">
        <v>164</v>
      </c>
      <c r="E979" s="42">
        <v>2</v>
      </c>
      <c r="F979" s="42">
        <v>0.6</v>
      </c>
      <c r="G979" s="33">
        <f t="shared" si="92"/>
        <v>15000</v>
      </c>
      <c r="H979" s="33">
        <f t="shared" si="91"/>
        <v>9000</v>
      </c>
    </row>
    <row r="980" spans="1:8" x14ac:dyDescent="0.25">
      <c r="A980" s="23" t="s">
        <v>1438</v>
      </c>
      <c r="B980" s="24" t="s">
        <v>1084</v>
      </c>
      <c r="C980" s="25" t="s">
        <v>366</v>
      </c>
      <c r="D980" s="80" t="s">
        <v>367</v>
      </c>
      <c r="E980" s="42">
        <v>3</v>
      </c>
      <c r="F980" s="42">
        <v>0.9</v>
      </c>
      <c r="G980" s="33">
        <f t="shared" si="92"/>
        <v>23000</v>
      </c>
      <c r="H980" s="33">
        <f t="shared" si="91"/>
        <v>20700</v>
      </c>
    </row>
    <row r="981" spans="1:8" ht="31.5" x14ac:dyDescent="0.25">
      <c r="A981" s="15" t="s">
        <v>1439</v>
      </c>
      <c r="B981" s="16" t="s">
        <v>1440</v>
      </c>
      <c r="C981" s="16" t="s">
        <v>1441</v>
      </c>
      <c r="D981" s="77" t="s">
        <v>107</v>
      </c>
      <c r="E981" s="125">
        <v>9.6000000000000002E-2</v>
      </c>
      <c r="F981" s="125"/>
      <c r="G981" s="33"/>
      <c r="H981" s="33"/>
    </row>
    <row r="982" spans="1:8" x14ac:dyDescent="0.25">
      <c r="A982" s="17" t="s">
        <v>1442</v>
      </c>
      <c r="B982" s="18" t="s">
        <v>8</v>
      </c>
      <c r="C982" s="19" t="s">
        <v>35</v>
      </c>
      <c r="D982" s="78" t="s">
        <v>858</v>
      </c>
      <c r="E982" s="40">
        <v>230.84</v>
      </c>
      <c r="F982" s="40">
        <v>22.160599999999999</v>
      </c>
      <c r="G982" s="33">
        <f>+G965</f>
        <v>26500</v>
      </c>
      <c r="H982" s="33">
        <f t="shared" ref="H982:H986" si="93">G982*F982</f>
        <v>587255.9</v>
      </c>
    </row>
    <row r="983" spans="1:8" x14ac:dyDescent="0.25">
      <c r="A983" s="17" t="s">
        <v>1443</v>
      </c>
      <c r="B983" s="18" t="s">
        <v>30</v>
      </c>
      <c r="C983" s="19" t="s">
        <v>15</v>
      </c>
      <c r="D983" s="78" t="s">
        <v>858</v>
      </c>
      <c r="E983" s="40">
        <v>8.06</v>
      </c>
      <c r="F983" s="40">
        <v>0.77376</v>
      </c>
      <c r="G983" s="33">
        <f>+G966</f>
        <v>0</v>
      </c>
      <c r="H983" s="33">
        <f t="shared" si="93"/>
        <v>0</v>
      </c>
    </row>
    <row r="984" spans="1:8" ht="33.75" x14ac:dyDescent="0.25">
      <c r="A984" s="20" t="s">
        <v>1444</v>
      </c>
      <c r="B984" s="21" t="s">
        <v>873</v>
      </c>
      <c r="C984" s="22" t="s">
        <v>309</v>
      </c>
      <c r="D984" s="79" t="s">
        <v>861</v>
      </c>
      <c r="E984" s="41">
        <v>8.06</v>
      </c>
      <c r="F984" s="41">
        <v>0.77376</v>
      </c>
      <c r="G984" s="33">
        <f>+G894</f>
        <v>25300</v>
      </c>
      <c r="H984" s="33">
        <f t="shared" si="93"/>
        <v>19576.128000000001</v>
      </c>
    </row>
    <row r="985" spans="1:8" x14ac:dyDescent="0.25">
      <c r="A985" s="20" t="s">
        <v>1445</v>
      </c>
      <c r="B985" s="21" t="s">
        <v>1446</v>
      </c>
      <c r="C985" s="22" t="s">
        <v>1447</v>
      </c>
      <c r="D985" s="79" t="s">
        <v>861</v>
      </c>
      <c r="E985" s="41">
        <v>16.12</v>
      </c>
      <c r="F985" s="41">
        <v>1.5475000000000001</v>
      </c>
      <c r="G985" s="32">
        <v>5000</v>
      </c>
      <c r="H985" s="33">
        <f t="shared" si="93"/>
        <v>7737.5000000000009</v>
      </c>
    </row>
    <row r="986" spans="1:8" ht="33.75" x14ac:dyDescent="0.25">
      <c r="A986" s="23" t="s">
        <v>1448</v>
      </c>
      <c r="B986" s="24" t="s">
        <v>1449</v>
      </c>
      <c r="C986" s="25" t="s">
        <v>1450</v>
      </c>
      <c r="D986" s="80" t="s">
        <v>54</v>
      </c>
      <c r="E986" s="42">
        <v>139</v>
      </c>
      <c r="F986" s="42">
        <v>13.343999999999999</v>
      </c>
      <c r="G986" s="32">
        <v>55000</v>
      </c>
      <c r="H986" s="33">
        <f t="shared" si="93"/>
        <v>733920</v>
      </c>
    </row>
    <row r="987" spans="1:8" ht="42" x14ac:dyDescent="0.25">
      <c r="A987" s="15" t="s">
        <v>1451</v>
      </c>
      <c r="B987" s="16" t="s">
        <v>1452</v>
      </c>
      <c r="C987" s="16" t="s">
        <v>1453</v>
      </c>
      <c r="D987" s="77" t="s">
        <v>604</v>
      </c>
      <c r="E987" s="125">
        <v>0.05</v>
      </c>
      <c r="F987" s="125"/>
      <c r="G987" s="33"/>
      <c r="H987" s="33"/>
    </row>
    <row r="988" spans="1:8" x14ac:dyDescent="0.25">
      <c r="A988" s="17" t="s">
        <v>1454</v>
      </c>
      <c r="B988" s="18" t="s">
        <v>8</v>
      </c>
      <c r="C988" s="19" t="s">
        <v>35</v>
      </c>
      <c r="D988" s="78" t="s">
        <v>858</v>
      </c>
      <c r="E988" s="40">
        <v>33.6</v>
      </c>
      <c r="F988" s="40">
        <v>1.68</v>
      </c>
      <c r="G988" s="33">
        <f>+G982</f>
        <v>26500</v>
      </c>
      <c r="H988" s="33">
        <f t="shared" ref="H988:H998" si="94">G988*F988</f>
        <v>44520</v>
      </c>
    </row>
    <row r="989" spans="1:8" x14ac:dyDescent="0.25">
      <c r="A989" s="17" t="s">
        <v>1455</v>
      </c>
      <c r="B989" s="18" t="s">
        <v>30</v>
      </c>
      <c r="C989" s="19" t="s">
        <v>15</v>
      </c>
      <c r="D989" s="78" t="s">
        <v>858</v>
      </c>
      <c r="E989" s="40">
        <v>16.77</v>
      </c>
      <c r="F989" s="40">
        <v>0.83850000000000002</v>
      </c>
      <c r="G989" s="33">
        <f>+G983</f>
        <v>0</v>
      </c>
      <c r="H989" s="33">
        <f t="shared" si="94"/>
        <v>0</v>
      </c>
    </row>
    <row r="990" spans="1:8" x14ac:dyDescent="0.25">
      <c r="A990" s="20" t="s">
        <v>1456</v>
      </c>
      <c r="B990" s="21" t="s">
        <v>1235</v>
      </c>
      <c r="C990" s="22" t="s">
        <v>1236</v>
      </c>
      <c r="D990" s="79" t="s">
        <v>861</v>
      </c>
      <c r="E990" s="41">
        <v>1.4</v>
      </c>
      <c r="F990" s="41">
        <v>7.0000000000000007E-2</v>
      </c>
      <c r="G990" s="33">
        <f>+G878</f>
        <v>200</v>
      </c>
      <c r="H990" s="33">
        <f t="shared" si="94"/>
        <v>14.000000000000002</v>
      </c>
    </row>
    <row r="991" spans="1:8" x14ac:dyDescent="0.25">
      <c r="A991" s="20" t="s">
        <v>1457</v>
      </c>
      <c r="B991" s="21" t="s">
        <v>1238</v>
      </c>
      <c r="C991" s="22" t="s">
        <v>1239</v>
      </c>
      <c r="D991" s="79" t="s">
        <v>861</v>
      </c>
      <c r="E991" s="41">
        <v>3.47</v>
      </c>
      <c r="F991" s="41">
        <v>0.17349999999999999</v>
      </c>
      <c r="G991" s="33">
        <f>+G866</f>
        <v>223109</v>
      </c>
      <c r="H991" s="33">
        <f t="shared" si="94"/>
        <v>38709.411499999995</v>
      </c>
    </row>
    <row r="992" spans="1:8" x14ac:dyDescent="0.25">
      <c r="A992" s="20" t="s">
        <v>1458</v>
      </c>
      <c r="B992" s="21" t="s">
        <v>1241</v>
      </c>
      <c r="C992" s="22" t="s">
        <v>1242</v>
      </c>
      <c r="D992" s="79" t="s">
        <v>861</v>
      </c>
      <c r="E992" s="41">
        <v>10.1</v>
      </c>
      <c r="F992" s="41">
        <v>0.505</v>
      </c>
      <c r="G992" s="33">
        <f>+G867</f>
        <v>223109</v>
      </c>
      <c r="H992" s="33">
        <f t="shared" si="94"/>
        <v>112670.045</v>
      </c>
    </row>
    <row r="993" spans="1:8" x14ac:dyDescent="0.25">
      <c r="A993" s="20" t="s">
        <v>1459</v>
      </c>
      <c r="B993" s="21" t="s">
        <v>1245</v>
      </c>
      <c r="C993" s="22" t="s">
        <v>1246</v>
      </c>
      <c r="D993" s="79" t="s">
        <v>861</v>
      </c>
      <c r="E993" s="41">
        <v>0.39</v>
      </c>
      <c r="F993" s="41">
        <v>1.95E-2</v>
      </c>
      <c r="G993" s="33">
        <f>+G869</f>
        <v>60000</v>
      </c>
      <c r="H993" s="33">
        <f t="shared" si="94"/>
        <v>1170</v>
      </c>
    </row>
    <row r="994" spans="1:8" x14ac:dyDescent="0.25">
      <c r="A994" s="20" t="s">
        <v>1460</v>
      </c>
      <c r="B994" s="21" t="s">
        <v>1248</v>
      </c>
      <c r="C994" s="22" t="s">
        <v>1249</v>
      </c>
      <c r="D994" s="79" t="s">
        <v>861</v>
      </c>
      <c r="E994" s="41">
        <v>2.8</v>
      </c>
      <c r="F994" s="41">
        <v>0.14000000000000001</v>
      </c>
      <c r="G994" s="33">
        <f>+G870</f>
        <v>385434</v>
      </c>
      <c r="H994" s="33">
        <f t="shared" si="94"/>
        <v>53960.76</v>
      </c>
    </row>
    <row r="995" spans="1:8" ht="22.5" x14ac:dyDescent="0.25">
      <c r="A995" s="20" t="s">
        <v>1461</v>
      </c>
      <c r="B995" s="21" t="s">
        <v>966</v>
      </c>
      <c r="C995" s="22" t="s">
        <v>190</v>
      </c>
      <c r="D995" s="79" t="s">
        <v>861</v>
      </c>
      <c r="E995" s="41">
        <v>0.01</v>
      </c>
      <c r="F995" s="41">
        <v>5.0000000000000001E-4</v>
      </c>
      <c r="G995" s="33">
        <f>+G969</f>
        <v>35000</v>
      </c>
      <c r="H995" s="33">
        <f t="shared" si="94"/>
        <v>17.5</v>
      </c>
    </row>
    <row r="996" spans="1:8" ht="22.5" x14ac:dyDescent="0.25">
      <c r="A996" s="23" t="s">
        <v>1462</v>
      </c>
      <c r="B996" s="24" t="s">
        <v>1463</v>
      </c>
      <c r="C996" s="25" t="s">
        <v>1464</v>
      </c>
      <c r="D996" s="80" t="s">
        <v>60</v>
      </c>
      <c r="E996" s="42">
        <v>92.5</v>
      </c>
      <c r="F996" s="42">
        <v>4.625</v>
      </c>
      <c r="G996" s="32">
        <v>392026</v>
      </c>
      <c r="H996" s="33">
        <f t="shared" si="94"/>
        <v>1813120.25</v>
      </c>
    </row>
    <row r="997" spans="1:8" x14ac:dyDescent="0.25">
      <c r="A997" s="23" t="s">
        <v>1465</v>
      </c>
      <c r="B997" s="24" t="s">
        <v>1255</v>
      </c>
      <c r="C997" s="25" t="s">
        <v>1256</v>
      </c>
      <c r="D997" s="80" t="s">
        <v>60</v>
      </c>
      <c r="E997" s="42">
        <v>1.0800000000000001E-2</v>
      </c>
      <c r="F997" s="42">
        <v>5.4000000000000001E-4</v>
      </c>
      <c r="G997" s="33">
        <f>+G880</f>
        <v>4500000</v>
      </c>
      <c r="H997" s="33">
        <f t="shared" si="94"/>
        <v>2430</v>
      </c>
    </row>
    <row r="998" spans="1:8" ht="22.5" x14ac:dyDescent="0.25">
      <c r="A998" s="23" t="s">
        <v>1466</v>
      </c>
      <c r="B998" s="24" t="s">
        <v>892</v>
      </c>
      <c r="C998" s="25" t="s">
        <v>893</v>
      </c>
      <c r="D998" s="80" t="s">
        <v>60</v>
      </c>
      <c r="E998" s="42">
        <v>6.1999999999999998E-3</v>
      </c>
      <c r="F998" s="42">
        <v>3.1E-4</v>
      </c>
      <c r="G998" s="33">
        <f>+G874</f>
        <v>12500000</v>
      </c>
      <c r="H998" s="33">
        <f t="shared" si="94"/>
        <v>3875</v>
      </c>
    </row>
    <row r="999" spans="1:8" ht="21" x14ac:dyDescent="0.25">
      <c r="A999" s="15" t="s">
        <v>1467</v>
      </c>
      <c r="B999" s="16" t="s">
        <v>1468</v>
      </c>
      <c r="C999" s="16" t="s">
        <v>1469</v>
      </c>
      <c r="D999" s="77" t="s">
        <v>604</v>
      </c>
      <c r="E999" s="125">
        <v>0.05</v>
      </c>
      <c r="F999" s="125"/>
      <c r="G999" s="33"/>
      <c r="H999" s="33"/>
    </row>
    <row r="1000" spans="1:8" x14ac:dyDescent="0.25">
      <c r="A1000" s="17" t="s">
        <v>1470</v>
      </c>
      <c r="B1000" s="18" t="s">
        <v>8</v>
      </c>
      <c r="C1000" s="19" t="s">
        <v>35</v>
      </c>
      <c r="D1000" s="78" t="s">
        <v>858</v>
      </c>
      <c r="E1000" s="40">
        <v>1.08</v>
      </c>
      <c r="F1000" s="40">
        <v>5.3999999999999999E-2</v>
      </c>
      <c r="G1000" s="33">
        <f>+G988</f>
        <v>26500</v>
      </c>
      <c r="H1000" s="33">
        <f t="shared" ref="H1000:H1003" si="95">G1000*F1000</f>
        <v>1431</v>
      </c>
    </row>
    <row r="1001" spans="1:8" x14ac:dyDescent="0.25">
      <c r="A1001" s="20" t="s">
        <v>1471</v>
      </c>
      <c r="B1001" s="21" t="s">
        <v>1235</v>
      </c>
      <c r="C1001" s="22" t="s">
        <v>1236</v>
      </c>
      <c r="D1001" s="79" t="s">
        <v>861</v>
      </c>
      <c r="E1001" s="41">
        <v>2.04</v>
      </c>
      <c r="F1001" s="41">
        <v>0.10199999999999999</v>
      </c>
      <c r="G1001" s="33">
        <f>+G990</f>
        <v>200</v>
      </c>
      <c r="H1001" s="33">
        <f t="shared" si="95"/>
        <v>20.399999999999999</v>
      </c>
    </row>
    <row r="1002" spans="1:8" ht="22.5" x14ac:dyDescent="0.25">
      <c r="A1002" s="23" t="s">
        <v>1472</v>
      </c>
      <c r="B1002" s="24" t="s">
        <v>1463</v>
      </c>
      <c r="C1002" s="25" t="s">
        <v>1464</v>
      </c>
      <c r="D1002" s="80" t="s">
        <v>60</v>
      </c>
      <c r="E1002" s="42">
        <v>139.19999999999999</v>
      </c>
      <c r="F1002" s="42">
        <v>6.96</v>
      </c>
      <c r="G1002" s="33">
        <f>+G996</f>
        <v>392026</v>
      </c>
      <c r="H1002" s="33">
        <f t="shared" si="95"/>
        <v>2728500.96</v>
      </c>
    </row>
    <row r="1003" spans="1:8" x14ac:dyDescent="0.25">
      <c r="A1003" s="23" t="s">
        <v>1473</v>
      </c>
      <c r="B1003" s="24" t="s">
        <v>1255</v>
      </c>
      <c r="C1003" s="25" t="s">
        <v>1256</v>
      </c>
      <c r="D1003" s="80" t="s">
        <v>60</v>
      </c>
      <c r="E1003" s="42">
        <v>1.6799999999999999E-2</v>
      </c>
      <c r="F1003" s="42">
        <v>8.4000000000000003E-4</v>
      </c>
      <c r="G1003" s="33">
        <f>+G997</f>
        <v>4500000</v>
      </c>
      <c r="H1003" s="33">
        <f t="shared" si="95"/>
        <v>3780</v>
      </c>
    </row>
    <row r="1004" spans="1:8" x14ac:dyDescent="0.25">
      <c r="A1004" s="15" t="s">
        <v>1474</v>
      </c>
      <c r="B1004" s="16" t="s">
        <v>1475</v>
      </c>
      <c r="C1004" s="16" t="s">
        <v>1476</v>
      </c>
      <c r="D1004" s="77" t="s">
        <v>107</v>
      </c>
      <c r="E1004" s="125">
        <v>3.4</v>
      </c>
      <c r="F1004" s="125"/>
      <c r="G1004" s="33"/>
      <c r="H1004" s="33"/>
    </row>
    <row r="1005" spans="1:8" x14ac:dyDescent="0.25">
      <c r="A1005" s="17" t="s">
        <v>1477</v>
      </c>
      <c r="B1005" s="18" t="s">
        <v>8</v>
      </c>
      <c r="C1005" s="19" t="s">
        <v>35</v>
      </c>
      <c r="D1005" s="78" t="s">
        <v>858</v>
      </c>
      <c r="E1005" s="40">
        <v>97.2</v>
      </c>
      <c r="F1005" s="40">
        <v>330.48</v>
      </c>
      <c r="G1005" s="33">
        <f>+G1000</f>
        <v>26500</v>
      </c>
      <c r="H1005" s="33">
        <f t="shared" ref="H1005:H1008" si="96">G1005*F1005</f>
        <v>8757720</v>
      </c>
    </row>
    <row r="1006" spans="1:8" x14ac:dyDescent="0.25">
      <c r="A1006" s="23" t="s">
        <v>1478</v>
      </c>
      <c r="B1006" s="24" t="s">
        <v>1479</v>
      </c>
      <c r="C1006" s="25" t="s">
        <v>1480</v>
      </c>
      <c r="D1006" s="80" t="s">
        <v>54</v>
      </c>
      <c r="E1006" s="42">
        <v>105</v>
      </c>
      <c r="F1006" s="42">
        <v>357</v>
      </c>
      <c r="G1006" s="32">
        <v>5000</v>
      </c>
      <c r="H1006" s="33">
        <f t="shared" si="96"/>
        <v>1785000</v>
      </c>
    </row>
    <row r="1007" spans="1:8" ht="15" customHeight="1" x14ac:dyDescent="0.25">
      <c r="A1007" s="26"/>
      <c r="B1007" s="26"/>
      <c r="C1007" s="47" t="s">
        <v>1481</v>
      </c>
      <c r="D1007" s="81"/>
      <c r="E1007" s="48"/>
      <c r="F1007" s="49"/>
      <c r="G1007" s="33"/>
      <c r="H1007" s="33">
        <f t="shared" si="96"/>
        <v>0</v>
      </c>
    </row>
    <row r="1008" spans="1:8" ht="15" customHeight="1" x14ac:dyDescent="0.25">
      <c r="A1008" s="26"/>
      <c r="B1008" s="26"/>
      <c r="C1008" s="47" t="s">
        <v>592</v>
      </c>
      <c r="D1008" s="81"/>
      <c r="E1008" s="48"/>
      <c r="F1008" s="49"/>
      <c r="G1008" s="33"/>
      <c r="H1008" s="33">
        <f t="shared" si="96"/>
        <v>0</v>
      </c>
    </row>
    <row r="1009" spans="1:8" ht="52.5" x14ac:dyDescent="0.25">
      <c r="A1009" s="15" t="s">
        <v>1482</v>
      </c>
      <c r="B1009" s="16" t="s">
        <v>1483</v>
      </c>
      <c r="C1009" s="16" t="s">
        <v>1484</v>
      </c>
      <c r="D1009" s="77" t="s">
        <v>11</v>
      </c>
      <c r="E1009" s="125">
        <v>0.36</v>
      </c>
      <c r="F1009" s="125"/>
      <c r="G1009" s="33"/>
      <c r="H1009" s="33"/>
    </row>
    <row r="1010" spans="1:8" x14ac:dyDescent="0.25">
      <c r="A1010" s="17" t="s">
        <v>1485</v>
      </c>
      <c r="B1010" s="18" t="s">
        <v>30</v>
      </c>
      <c r="C1010" s="19" t="s">
        <v>15</v>
      </c>
      <c r="D1010" s="78" t="s">
        <v>858</v>
      </c>
      <c r="E1010" s="40">
        <v>11.66</v>
      </c>
      <c r="F1010" s="40">
        <v>4.1976000000000004</v>
      </c>
      <c r="G1010" s="33">
        <f>+G989</f>
        <v>0</v>
      </c>
      <c r="H1010" s="33">
        <f t="shared" ref="H1010:H1011" si="97">G1010*F1010</f>
        <v>0</v>
      </c>
    </row>
    <row r="1011" spans="1:8" ht="33.75" x14ac:dyDescent="0.25">
      <c r="A1011" s="20" t="s">
        <v>1486</v>
      </c>
      <c r="B1011" s="21" t="s">
        <v>864</v>
      </c>
      <c r="C1011" s="22" t="s">
        <v>20</v>
      </c>
      <c r="D1011" s="79" t="s">
        <v>861</v>
      </c>
      <c r="E1011" s="41">
        <v>11.66</v>
      </c>
      <c r="F1011" s="41">
        <v>4.1976000000000004</v>
      </c>
      <c r="G1011" s="33">
        <f>+G610</f>
        <v>162930</v>
      </c>
      <c r="H1011" s="33">
        <f t="shared" si="97"/>
        <v>683914.96800000011</v>
      </c>
    </row>
    <row r="1012" spans="1:8" ht="31.5" x14ac:dyDescent="0.25">
      <c r="A1012" s="15" t="s">
        <v>1487</v>
      </c>
      <c r="B1012" s="16" t="s">
        <v>865</v>
      </c>
      <c r="C1012" s="16" t="s">
        <v>866</v>
      </c>
      <c r="D1012" s="77" t="s">
        <v>11</v>
      </c>
      <c r="E1012" s="125">
        <v>0.36</v>
      </c>
      <c r="F1012" s="125"/>
      <c r="G1012" s="33"/>
      <c r="H1012" s="33"/>
    </row>
    <row r="1013" spans="1:8" x14ac:dyDescent="0.25">
      <c r="A1013" s="17" t="s">
        <v>1488</v>
      </c>
      <c r="B1013" s="18" t="s">
        <v>30</v>
      </c>
      <c r="C1013" s="19" t="s">
        <v>15</v>
      </c>
      <c r="D1013" s="78" t="s">
        <v>858</v>
      </c>
      <c r="E1013" s="40">
        <v>9.24</v>
      </c>
      <c r="F1013" s="40">
        <v>3.3264</v>
      </c>
      <c r="G1013" s="33">
        <f>+G1010</f>
        <v>0</v>
      </c>
      <c r="H1013" s="33">
        <f t="shared" ref="H1013:H1014" si="98">G1013*F1013</f>
        <v>0</v>
      </c>
    </row>
    <row r="1014" spans="1:8" ht="33.75" x14ac:dyDescent="0.25">
      <c r="A1014" s="20" t="s">
        <v>1489</v>
      </c>
      <c r="B1014" s="21" t="s">
        <v>864</v>
      </c>
      <c r="C1014" s="22" t="s">
        <v>20</v>
      </c>
      <c r="D1014" s="79" t="s">
        <v>861</v>
      </c>
      <c r="E1014" s="41">
        <v>9.24</v>
      </c>
      <c r="F1014" s="41">
        <v>3.3264</v>
      </c>
      <c r="G1014" s="33">
        <f>+G1011</f>
        <v>162930</v>
      </c>
      <c r="H1014" s="33">
        <f t="shared" si="98"/>
        <v>541970.35199999996</v>
      </c>
    </row>
    <row r="1015" spans="1:8" ht="42" x14ac:dyDescent="0.25">
      <c r="A1015" s="15" t="s">
        <v>1490</v>
      </c>
      <c r="B1015" s="16" t="s">
        <v>1491</v>
      </c>
      <c r="C1015" s="16" t="s">
        <v>1492</v>
      </c>
      <c r="D1015" s="77" t="s">
        <v>11</v>
      </c>
      <c r="E1015" s="125">
        <v>0.36</v>
      </c>
      <c r="F1015" s="125"/>
      <c r="G1015" s="33"/>
      <c r="H1015" s="33"/>
    </row>
    <row r="1016" spans="1:8" x14ac:dyDescent="0.25">
      <c r="A1016" s="17" t="s">
        <v>1493</v>
      </c>
      <c r="B1016" s="18" t="s">
        <v>30</v>
      </c>
      <c r="C1016" s="19" t="s">
        <v>15</v>
      </c>
      <c r="D1016" s="78" t="s">
        <v>858</v>
      </c>
      <c r="E1016" s="40">
        <v>15.39</v>
      </c>
      <c r="F1016" s="40">
        <v>5.5404</v>
      </c>
      <c r="G1016" s="33">
        <f>+G1013</f>
        <v>0</v>
      </c>
      <c r="H1016" s="33">
        <f t="shared" ref="H1016:H1019" si="99">G1016*F1016</f>
        <v>0</v>
      </c>
    </row>
    <row r="1017" spans="1:8" ht="33.75" x14ac:dyDescent="0.25">
      <c r="A1017" s="20" t="s">
        <v>1494</v>
      </c>
      <c r="B1017" s="21" t="s">
        <v>1495</v>
      </c>
      <c r="C1017" s="22" t="s">
        <v>43</v>
      </c>
      <c r="D1017" s="79" t="s">
        <v>861</v>
      </c>
      <c r="E1017" s="41">
        <v>14.01</v>
      </c>
      <c r="F1017" s="41">
        <v>5.0435999999999996</v>
      </c>
      <c r="G1017" s="33">
        <f>+G266</f>
        <v>162930</v>
      </c>
      <c r="H1017" s="33">
        <f t="shared" si="99"/>
        <v>821753.74799999991</v>
      </c>
    </row>
    <row r="1018" spans="1:8" ht="22.5" x14ac:dyDescent="0.25">
      <c r="A1018" s="20" t="s">
        <v>1496</v>
      </c>
      <c r="B1018" s="21" t="s">
        <v>1497</v>
      </c>
      <c r="C1018" s="22" t="s">
        <v>1498</v>
      </c>
      <c r="D1018" s="79" t="s">
        <v>861</v>
      </c>
      <c r="E1018" s="41">
        <v>1.38</v>
      </c>
      <c r="F1018" s="41">
        <v>0.49680000000000002</v>
      </c>
      <c r="G1018" s="35">
        <f>+G866</f>
        <v>223109</v>
      </c>
      <c r="H1018" s="33">
        <f t="shared" si="99"/>
        <v>110840.5512</v>
      </c>
    </row>
    <row r="1019" spans="1:8" ht="33.75" x14ac:dyDescent="0.25">
      <c r="A1019" s="20" t="s">
        <v>1499</v>
      </c>
      <c r="B1019" s="21" t="s">
        <v>1500</v>
      </c>
      <c r="C1019" s="22" t="s">
        <v>703</v>
      </c>
      <c r="D1019" s="79" t="s">
        <v>861</v>
      </c>
      <c r="E1019" s="41">
        <v>1.38</v>
      </c>
      <c r="F1019" s="41">
        <v>0.49680000000000002</v>
      </c>
      <c r="G1019" s="33">
        <f>+G260</f>
        <v>162930</v>
      </c>
      <c r="H1019" s="33">
        <f t="shared" si="99"/>
        <v>80943.623999999996</v>
      </c>
    </row>
    <row r="1020" spans="1:8" ht="31.5" x14ac:dyDescent="0.25">
      <c r="A1020" s="15" t="s">
        <v>1501</v>
      </c>
      <c r="B1020" s="16" t="s">
        <v>1502</v>
      </c>
      <c r="C1020" s="16" t="s">
        <v>1503</v>
      </c>
      <c r="D1020" s="77" t="s">
        <v>11</v>
      </c>
      <c r="E1020" s="125">
        <v>0.36</v>
      </c>
      <c r="F1020" s="125"/>
      <c r="G1020" s="33"/>
      <c r="H1020" s="33"/>
    </row>
    <row r="1021" spans="1:8" x14ac:dyDescent="0.25">
      <c r="A1021" s="17" t="s">
        <v>1504</v>
      </c>
      <c r="B1021" s="18" t="s">
        <v>30</v>
      </c>
      <c r="C1021" s="19" t="s">
        <v>15</v>
      </c>
      <c r="D1021" s="78" t="s">
        <v>858</v>
      </c>
      <c r="E1021" s="40">
        <v>6.9</v>
      </c>
      <c r="F1021" s="40">
        <v>2.484</v>
      </c>
      <c r="G1021" s="33">
        <f>+G1016</f>
        <v>0</v>
      </c>
      <c r="H1021" s="33">
        <f t="shared" ref="H1021:H1023" si="100">G1021*F1021</f>
        <v>0</v>
      </c>
    </row>
    <row r="1022" spans="1:8" ht="22.5" x14ac:dyDescent="0.25">
      <c r="A1022" s="20" t="s">
        <v>1505</v>
      </c>
      <c r="B1022" s="21" t="s">
        <v>1497</v>
      </c>
      <c r="C1022" s="22" t="s">
        <v>1498</v>
      </c>
      <c r="D1022" s="79" t="s">
        <v>861</v>
      </c>
      <c r="E1022" s="41">
        <v>6.9</v>
      </c>
      <c r="F1022" s="41">
        <v>2.484</v>
      </c>
      <c r="G1022" s="33">
        <f>+G1018</f>
        <v>223109</v>
      </c>
      <c r="H1022" s="33">
        <f t="shared" si="100"/>
        <v>554202.75600000005</v>
      </c>
    </row>
    <row r="1023" spans="1:8" ht="33.75" x14ac:dyDescent="0.25">
      <c r="A1023" s="20" t="s">
        <v>1506</v>
      </c>
      <c r="B1023" s="21" t="s">
        <v>1500</v>
      </c>
      <c r="C1023" s="22" t="s">
        <v>703</v>
      </c>
      <c r="D1023" s="79" t="s">
        <v>861</v>
      </c>
      <c r="E1023" s="41">
        <v>6.9</v>
      </c>
      <c r="F1023" s="41">
        <v>2.484</v>
      </c>
      <c r="G1023" s="33">
        <f>+G1019</f>
        <v>162930</v>
      </c>
      <c r="H1023" s="33">
        <f t="shared" si="100"/>
        <v>404718.12</v>
      </c>
    </row>
    <row r="1024" spans="1:8" ht="52.5" x14ac:dyDescent="0.25">
      <c r="A1024" s="15" t="s">
        <v>1507</v>
      </c>
      <c r="B1024" s="16" t="s">
        <v>862</v>
      </c>
      <c r="C1024" s="16" t="s">
        <v>1508</v>
      </c>
      <c r="D1024" s="77" t="s">
        <v>11</v>
      </c>
      <c r="E1024" s="125">
        <v>0.104</v>
      </c>
      <c r="F1024" s="125"/>
      <c r="G1024" s="33"/>
      <c r="H1024" s="33"/>
    </row>
    <row r="1025" spans="1:8" x14ac:dyDescent="0.25">
      <c r="A1025" s="17" t="s">
        <v>1509</v>
      </c>
      <c r="B1025" s="18" t="s">
        <v>30</v>
      </c>
      <c r="C1025" s="19" t="s">
        <v>15</v>
      </c>
      <c r="D1025" s="78" t="s">
        <v>858</v>
      </c>
      <c r="E1025" s="40">
        <v>9.9109999999999996</v>
      </c>
      <c r="F1025" s="40">
        <v>1.0306999999999999</v>
      </c>
      <c r="G1025" s="33">
        <f>+G1021</f>
        <v>0</v>
      </c>
      <c r="H1025" s="33">
        <f t="shared" ref="H1025:H1026" si="101">G1025*F1025</f>
        <v>0</v>
      </c>
    </row>
    <row r="1026" spans="1:8" ht="33.75" x14ac:dyDescent="0.25">
      <c r="A1026" s="20" t="s">
        <v>1510</v>
      </c>
      <c r="B1026" s="21" t="s">
        <v>864</v>
      </c>
      <c r="C1026" s="22" t="s">
        <v>20</v>
      </c>
      <c r="D1026" s="79" t="s">
        <v>861</v>
      </c>
      <c r="E1026" s="41">
        <v>9.9109999999999996</v>
      </c>
      <c r="F1026" s="41">
        <v>1.0306999999999999</v>
      </c>
      <c r="G1026" s="33">
        <f>+G1014</f>
        <v>162930</v>
      </c>
      <c r="H1026" s="33">
        <f t="shared" si="101"/>
        <v>167931.951</v>
      </c>
    </row>
    <row r="1027" spans="1:8" ht="42" x14ac:dyDescent="0.25">
      <c r="A1027" s="15" t="s">
        <v>1511</v>
      </c>
      <c r="B1027" s="16" t="s">
        <v>1230</v>
      </c>
      <c r="C1027" s="16" t="s">
        <v>1231</v>
      </c>
      <c r="D1027" s="77" t="s">
        <v>604</v>
      </c>
      <c r="E1027" s="125">
        <v>0.54</v>
      </c>
      <c r="F1027" s="125"/>
      <c r="G1027" s="33"/>
      <c r="H1027" s="33"/>
    </row>
    <row r="1028" spans="1:8" x14ac:dyDescent="0.25">
      <c r="A1028" s="17" t="s">
        <v>1512</v>
      </c>
      <c r="B1028" s="18" t="s">
        <v>8</v>
      </c>
      <c r="C1028" s="19" t="s">
        <v>35</v>
      </c>
      <c r="D1028" s="78" t="s">
        <v>858</v>
      </c>
      <c r="E1028" s="40">
        <v>33.6</v>
      </c>
      <c r="F1028" s="40">
        <v>18.143999999999998</v>
      </c>
      <c r="G1028" s="33">
        <f>+G1005</f>
        <v>26500</v>
      </c>
      <c r="H1028" s="33">
        <f t="shared" ref="H1028:H1040" si="102">G1028*F1028</f>
        <v>480815.99999999994</v>
      </c>
    </row>
    <row r="1029" spans="1:8" x14ac:dyDescent="0.25">
      <c r="A1029" s="17" t="s">
        <v>1513</v>
      </c>
      <c r="B1029" s="18" t="s">
        <v>30</v>
      </c>
      <c r="C1029" s="19" t="s">
        <v>15</v>
      </c>
      <c r="D1029" s="78" t="s">
        <v>858</v>
      </c>
      <c r="E1029" s="40">
        <v>16.829999999999998</v>
      </c>
      <c r="F1029" s="40">
        <v>9.0882000000000005</v>
      </c>
      <c r="G1029" s="33">
        <f>+G1025</f>
        <v>0</v>
      </c>
      <c r="H1029" s="33">
        <f t="shared" si="102"/>
        <v>0</v>
      </c>
    </row>
    <row r="1030" spans="1:8" x14ac:dyDescent="0.25">
      <c r="A1030" s="20" t="s">
        <v>1514</v>
      </c>
      <c r="B1030" s="21" t="s">
        <v>1235</v>
      </c>
      <c r="C1030" s="22" t="s">
        <v>1236</v>
      </c>
      <c r="D1030" s="79" t="s">
        <v>861</v>
      </c>
      <c r="E1030" s="41">
        <v>1.4</v>
      </c>
      <c r="F1030" s="41">
        <v>0.75600000000000001</v>
      </c>
      <c r="G1030" s="33">
        <f>+G1001</f>
        <v>200</v>
      </c>
      <c r="H1030" s="33">
        <f t="shared" si="102"/>
        <v>151.19999999999999</v>
      </c>
    </row>
    <row r="1031" spans="1:8" x14ac:dyDescent="0.25">
      <c r="A1031" s="20" t="s">
        <v>1515</v>
      </c>
      <c r="B1031" s="21" t="s">
        <v>1238</v>
      </c>
      <c r="C1031" s="22" t="s">
        <v>1239</v>
      </c>
      <c r="D1031" s="79" t="s">
        <v>861</v>
      </c>
      <c r="E1031" s="41">
        <v>3.47</v>
      </c>
      <c r="F1031" s="41">
        <v>1.8737999999999999</v>
      </c>
      <c r="G1031" s="33">
        <f>+G991</f>
        <v>223109</v>
      </c>
      <c r="H1031" s="33">
        <f t="shared" si="102"/>
        <v>418061.64419999998</v>
      </c>
    </row>
    <row r="1032" spans="1:8" x14ac:dyDescent="0.25">
      <c r="A1032" s="20" t="s">
        <v>1516</v>
      </c>
      <c r="B1032" s="21" t="s">
        <v>1241</v>
      </c>
      <c r="C1032" s="22" t="s">
        <v>1242</v>
      </c>
      <c r="D1032" s="79" t="s">
        <v>861</v>
      </c>
      <c r="E1032" s="41">
        <v>10.1</v>
      </c>
      <c r="F1032" s="41">
        <v>5.4539999999999997</v>
      </c>
      <c r="G1032" s="33">
        <f>+G992</f>
        <v>223109</v>
      </c>
      <c r="H1032" s="33">
        <f t="shared" si="102"/>
        <v>1216836.486</v>
      </c>
    </row>
    <row r="1033" spans="1:8" ht="33.75" x14ac:dyDescent="0.25">
      <c r="A1033" s="20" t="s">
        <v>1517</v>
      </c>
      <c r="B1033" s="21" t="s">
        <v>875</v>
      </c>
      <c r="C1033" s="22" t="s">
        <v>314</v>
      </c>
      <c r="D1033" s="79" t="s">
        <v>861</v>
      </c>
      <c r="E1033" s="41">
        <v>0.03</v>
      </c>
      <c r="F1033" s="41">
        <v>1.6199999999999999E-2</v>
      </c>
      <c r="G1033" s="33">
        <f>+G967</f>
        <v>113021</v>
      </c>
      <c r="H1033" s="33">
        <f t="shared" si="102"/>
        <v>1830.9402</v>
      </c>
    </row>
    <row r="1034" spans="1:8" x14ac:dyDescent="0.25">
      <c r="A1034" s="20" t="s">
        <v>1518</v>
      </c>
      <c r="B1034" s="21" t="s">
        <v>1245</v>
      </c>
      <c r="C1034" s="22" t="s">
        <v>1246</v>
      </c>
      <c r="D1034" s="79" t="s">
        <v>861</v>
      </c>
      <c r="E1034" s="41">
        <v>0.39</v>
      </c>
      <c r="F1034" s="41">
        <v>0.21060000000000001</v>
      </c>
      <c r="G1034" s="33">
        <f>+G993</f>
        <v>60000</v>
      </c>
      <c r="H1034" s="33">
        <f t="shared" si="102"/>
        <v>12636</v>
      </c>
    </row>
    <row r="1035" spans="1:8" x14ac:dyDescent="0.25">
      <c r="A1035" s="20" t="s">
        <v>1519</v>
      </c>
      <c r="B1035" s="21" t="s">
        <v>1248</v>
      </c>
      <c r="C1035" s="22" t="s">
        <v>1249</v>
      </c>
      <c r="D1035" s="79" t="s">
        <v>861</v>
      </c>
      <c r="E1035" s="41">
        <v>2.8</v>
      </c>
      <c r="F1035" s="41">
        <v>1.512</v>
      </c>
      <c r="G1035" s="33">
        <f>+G994</f>
        <v>385434</v>
      </c>
      <c r="H1035" s="33">
        <f t="shared" si="102"/>
        <v>582776.20799999998</v>
      </c>
    </row>
    <row r="1036" spans="1:8" ht="22.5" x14ac:dyDescent="0.25">
      <c r="A1036" s="20" t="s">
        <v>1520</v>
      </c>
      <c r="B1036" s="21" t="s">
        <v>966</v>
      </c>
      <c r="C1036" s="22" t="s">
        <v>190</v>
      </c>
      <c r="D1036" s="79" t="s">
        <v>861</v>
      </c>
      <c r="E1036" s="41">
        <v>0.04</v>
      </c>
      <c r="F1036" s="41">
        <v>2.1600000000000001E-2</v>
      </c>
      <c r="G1036" s="33">
        <f>+G995</f>
        <v>35000</v>
      </c>
      <c r="H1036" s="33">
        <f t="shared" si="102"/>
        <v>756</v>
      </c>
    </row>
    <row r="1037" spans="1:8" ht="22.5" x14ac:dyDescent="0.25">
      <c r="A1037" s="23" t="s">
        <v>1521</v>
      </c>
      <c r="B1037" s="24" t="s">
        <v>1252</v>
      </c>
      <c r="C1037" s="25" t="s">
        <v>1253</v>
      </c>
      <c r="D1037" s="80" t="s">
        <v>60</v>
      </c>
      <c r="E1037" s="42">
        <v>96.6</v>
      </c>
      <c r="F1037" s="42">
        <v>52.164000000000001</v>
      </c>
      <c r="G1037" s="33">
        <f>+G879</f>
        <v>531591</v>
      </c>
      <c r="H1037" s="33">
        <f t="shared" si="102"/>
        <v>27729912.924000002</v>
      </c>
    </row>
    <row r="1038" spans="1:8" x14ac:dyDescent="0.25">
      <c r="A1038" s="23" t="s">
        <v>1522</v>
      </c>
      <c r="B1038" s="24" t="s">
        <v>1255</v>
      </c>
      <c r="C1038" s="25" t="s">
        <v>1256</v>
      </c>
      <c r="D1038" s="80" t="s">
        <v>60</v>
      </c>
      <c r="E1038" s="42">
        <v>1.0800000000000001E-2</v>
      </c>
      <c r="F1038" s="42">
        <v>5.8320000000000004E-3</v>
      </c>
      <c r="G1038" s="33">
        <f>+G1003</f>
        <v>4500000</v>
      </c>
      <c r="H1038" s="33">
        <f t="shared" si="102"/>
        <v>26244</v>
      </c>
    </row>
    <row r="1039" spans="1:8" ht="22.5" x14ac:dyDescent="0.25">
      <c r="A1039" s="23" t="s">
        <v>1523</v>
      </c>
      <c r="B1039" s="24" t="s">
        <v>892</v>
      </c>
      <c r="C1039" s="25" t="s">
        <v>893</v>
      </c>
      <c r="D1039" s="80" t="s">
        <v>60</v>
      </c>
      <c r="E1039" s="42">
        <v>6.1999999999999998E-3</v>
      </c>
      <c r="F1039" s="42">
        <v>3.3479999999999998E-3</v>
      </c>
      <c r="G1039" s="33">
        <f>+G998</f>
        <v>12500000</v>
      </c>
      <c r="H1039" s="33">
        <f t="shared" si="102"/>
        <v>41850</v>
      </c>
    </row>
    <row r="1040" spans="1:8" ht="33.75" x14ac:dyDescent="0.25">
      <c r="A1040" s="23" t="s">
        <v>1524</v>
      </c>
      <c r="B1040" s="24" t="s">
        <v>1259</v>
      </c>
      <c r="C1040" s="25" t="s">
        <v>1260</v>
      </c>
      <c r="D1040" s="80" t="s">
        <v>54</v>
      </c>
      <c r="E1040" s="42">
        <v>0.15</v>
      </c>
      <c r="F1040" s="42">
        <v>8.1000000000000003E-2</v>
      </c>
      <c r="G1040" s="33">
        <f>+G875</f>
        <v>2350000</v>
      </c>
      <c r="H1040" s="33">
        <f t="shared" si="102"/>
        <v>190350</v>
      </c>
    </row>
    <row r="1041" spans="1:8" ht="31.5" x14ac:dyDescent="0.25">
      <c r="A1041" s="15" t="s">
        <v>1525</v>
      </c>
      <c r="B1041" s="16" t="s">
        <v>1526</v>
      </c>
      <c r="C1041" s="16" t="s">
        <v>1527</v>
      </c>
      <c r="D1041" s="77" t="s">
        <v>604</v>
      </c>
      <c r="E1041" s="125">
        <v>0.54</v>
      </c>
      <c r="F1041" s="125"/>
      <c r="G1041" s="33"/>
      <c r="H1041" s="33"/>
    </row>
    <row r="1042" spans="1:8" x14ac:dyDescent="0.25">
      <c r="A1042" s="17" t="s">
        <v>1528</v>
      </c>
      <c r="B1042" s="18" t="s">
        <v>8</v>
      </c>
      <c r="C1042" s="19" t="s">
        <v>35</v>
      </c>
      <c r="D1042" s="78" t="s">
        <v>858</v>
      </c>
      <c r="E1042" s="40">
        <v>0.18</v>
      </c>
      <c r="F1042" s="40">
        <v>9.7199999999999995E-2</v>
      </c>
      <c r="G1042" s="33">
        <f>+G1028</f>
        <v>26500</v>
      </c>
      <c r="H1042" s="33">
        <f t="shared" ref="H1042:H1045" si="103">G1042*F1042</f>
        <v>2575.7999999999997</v>
      </c>
    </row>
    <row r="1043" spans="1:8" x14ac:dyDescent="0.25">
      <c r="A1043" s="20" t="s">
        <v>1529</v>
      </c>
      <c r="B1043" s="21" t="s">
        <v>1235</v>
      </c>
      <c r="C1043" s="22" t="s">
        <v>1236</v>
      </c>
      <c r="D1043" s="79" t="s">
        <v>861</v>
      </c>
      <c r="E1043" s="41">
        <v>0.36</v>
      </c>
      <c r="F1043" s="41">
        <v>0.19439999999999999</v>
      </c>
      <c r="G1043" s="33">
        <f>+G1030</f>
        <v>200</v>
      </c>
      <c r="H1043" s="33">
        <f t="shared" si="103"/>
        <v>38.879999999999995</v>
      </c>
    </row>
    <row r="1044" spans="1:8" ht="22.5" x14ac:dyDescent="0.25">
      <c r="A1044" s="23" t="s">
        <v>1530</v>
      </c>
      <c r="B1044" s="24" t="s">
        <v>1252</v>
      </c>
      <c r="C1044" s="25" t="s">
        <v>1253</v>
      </c>
      <c r="D1044" s="80" t="s">
        <v>60</v>
      </c>
      <c r="E1044" s="42">
        <v>24.2</v>
      </c>
      <c r="F1044" s="42">
        <v>13.068</v>
      </c>
      <c r="G1044" s="33">
        <f>+G1037</f>
        <v>531591</v>
      </c>
      <c r="H1044" s="33">
        <f t="shared" si="103"/>
        <v>6946831.1880000001</v>
      </c>
    </row>
    <row r="1045" spans="1:8" x14ac:dyDescent="0.25">
      <c r="A1045" s="23" t="s">
        <v>1531</v>
      </c>
      <c r="B1045" s="24" t="s">
        <v>1255</v>
      </c>
      <c r="C1045" s="25" t="s">
        <v>1256</v>
      </c>
      <c r="D1045" s="80" t="s">
        <v>60</v>
      </c>
      <c r="E1045" s="42">
        <v>2.8E-3</v>
      </c>
      <c r="F1045" s="42">
        <v>1.5120000000000001E-3</v>
      </c>
      <c r="G1045" s="33">
        <f>+G1038</f>
        <v>4500000</v>
      </c>
      <c r="H1045" s="33">
        <f t="shared" si="103"/>
        <v>6804.0000000000009</v>
      </c>
    </row>
    <row r="1046" spans="1:8" ht="42" x14ac:dyDescent="0.25">
      <c r="A1046" s="15" t="s">
        <v>1532</v>
      </c>
      <c r="B1046" s="16" t="s">
        <v>1533</v>
      </c>
      <c r="C1046" s="16" t="s">
        <v>1534</v>
      </c>
      <c r="D1046" s="77" t="s">
        <v>604</v>
      </c>
      <c r="E1046" s="125">
        <v>0.54</v>
      </c>
      <c r="F1046" s="125"/>
      <c r="G1046" s="33"/>
      <c r="H1046" s="33"/>
    </row>
    <row r="1047" spans="1:8" x14ac:dyDescent="0.25">
      <c r="A1047" s="17" t="s">
        <v>1535</v>
      </c>
      <c r="B1047" s="18" t="s">
        <v>8</v>
      </c>
      <c r="C1047" s="19" t="s">
        <v>35</v>
      </c>
      <c r="D1047" s="78" t="s">
        <v>858</v>
      </c>
      <c r="E1047" s="40">
        <v>33.6</v>
      </c>
      <c r="F1047" s="40">
        <v>18.143999999999998</v>
      </c>
      <c r="G1047" s="33">
        <f>+G1042</f>
        <v>26500</v>
      </c>
      <c r="H1047" s="33">
        <f t="shared" ref="H1047:H1059" si="104">G1047*F1047</f>
        <v>480815.99999999994</v>
      </c>
    </row>
    <row r="1048" spans="1:8" x14ac:dyDescent="0.25">
      <c r="A1048" s="17" t="s">
        <v>1536</v>
      </c>
      <c r="B1048" s="18" t="s">
        <v>30</v>
      </c>
      <c r="C1048" s="19" t="s">
        <v>15</v>
      </c>
      <c r="D1048" s="78" t="s">
        <v>858</v>
      </c>
      <c r="E1048" s="40">
        <v>16.829999999999998</v>
      </c>
      <c r="F1048" s="40">
        <v>9.0882000000000005</v>
      </c>
      <c r="G1048" s="33">
        <f>+G1029</f>
        <v>0</v>
      </c>
      <c r="H1048" s="33">
        <f t="shared" si="104"/>
        <v>0</v>
      </c>
    </row>
    <row r="1049" spans="1:8" x14ac:dyDescent="0.25">
      <c r="A1049" s="20" t="s">
        <v>1537</v>
      </c>
      <c r="B1049" s="21" t="s">
        <v>1235</v>
      </c>
      <c r="C1049" s="22" t="s">
        <v>1236</v>
      </c>
      <c r="D1049" s="79" t="s">
        <v>861</v>
      </c>
      <c r="E1049" s="41">
        <v>1.4</v>
      </c>
      <c r="F1049" s="41">
        <v>0.75600000000000001</v>
      </c>
      <c r="G1049" s="33">
        <f>+G1043</f>
        <v>200</v>
      </c>
      <c r="H1049" s="33">
        <f t="shared" si="104"/>
        <v>151.19999999999999</v>
      </c>
    </row>
    <row r="1050" spans="1:8" x14ac:dyDescent="0.25">
      <c r="A1050" s="20" t="s">
        <v>1538</v>
      </c>
      <c r="B1050" s="21" t="s">
        <v>1238</v>
      </c>
      <c r="C1050" s="22" t="s">
        <v>1239</v>
      </c>
      <c r="D1050" s="79" t="s">
        <v>861</v>
      </c>
      <c r="E1050" s="41">
        <v>3.47</v>
      </c>
      <c r="F1050" s="41">
        <v>1.8737999999999999</v>
      </c>
      <c r="G1050" s="33">
        <f t="shared" ref="G1050:G1055" si="105">+G1031</f>
        <v>223109</v>
      </c>
      <c r="H1050" s="33">
        <f t="shared" si="104"/>
        <v>418061.64419999998</v>
      </c>
    </row>
    <row r="1051" spans="1:8" x14ac:dyDescent="0.25">
      <c r="A1051" s="20" t="s">
        <v>1539</v>
      </c>
      <c r="B1051" s="21" t="s">
        <v>1241</v>
      </c>
      <c r="C1051" s="22" t="s">
        <v>1242</v>
      </c>
      <c r="D1051" s="79" t="s">
        <v>861</v>
      </c>
      <c r="E1051" s="41">
        <v>10.1</v>
      </c>
      <c r="F1051" s="41">
        <v>5.4539999999999997</v>
      </c>
      <c r="G1051" s="33">
        <f t="shared" si="105"/>
        <v>223109</v>
      </c>
      <c r="H1051" s="33">
        <f t="shared" si="104"/>
        <v>1216836.486</v>
      </c>
    </row>
    <row r="1052" spans="1:8" ht="33.75" x14ac:dyDescent="0.25">
      <c r="A1052" s="20" t="s">
        <v>1540</v>
      </c>
      <c r="B1052" s="21" t="s">
        <v>875</v>
      </c>
      <c r="C1052" s="22" t="s">
        <v>314</v>
      </c>
      <c r="D1052" s="79" t="s">
        <v>861</v>
      </c>
      <c r="E1052" s="41">
        <v>0.03</v>
      </c>
      <c r="F1052" s="41">
        <v>1.6199999999999999E-2</v>
      </c>
      <c r="G1052" s="33">
        <f t="shared" si="105"/>
        <v>113021</v>
      </c>
      <c r="H1052" s="33">
        <f t="shared" si="104"/>
        <v>1830.9402</v>
      </c>
    </row>
    <row r="1053" spans="1:8" x14ac:dyDescent="0.25">
      <c r="A1053" s="20" t="s">
        <v>1541</v>
      </c>
      <c r="B1053" s="21" t="s">
        <v>1245</v>
      </c>
      <c r="C1053" s="22" t="s">
        <v>1246</v>
      </c>
      <c r="D1053" s="79" t="s">
        <v>861</v>
      </c>
      <c r="E1053" s="41">
        <v>0.39</v>
      </c>
      <c r="F1053" s="41">
        <v>0.21060000000000001</v>
      </c>
      <c r="G1053" s="33">
        <f t="shared" si="105"/>
        <v>60000</v>
      </c>
      <c r="H1053" s="33">
        <f t="shared" si="104"/>
        <v>12636</v>
      </c>
    </row>
    <row r="1054" spans="1:8" x14ac:dyDescent="0.25">
      <c r="A1054" s="20" t="s">
        <v>1542</v>
      </c>
      <c r="B1054" s="21" t="s">
        <v>1248</v>
      </c>
      <c r="C1054" s="22" t="s">
        <v>1249</v>
      </c>
      <c r="D1054" s="79" t="s">
        <v>861</v>
      </c>
      <c r="E1054" s="41">
        <v>2.8</v>
      </c>
      <c r="F1054" s="41">
        <v>1.512</v>
      </c>
      <c r="G1054" s="33">
        <f t="shared" si="105"/>
        <v>385434</v>
      </c>
      <c r="H1054" s="33">
        <f t="shared" si="104"/>
        <v>582776.20799999998</v>
      </c>
    </row>
    <row r="1055" spans="1:8" ht="22.5" x14ac:dyDescent="0.25">
      <c r="A1055" s="20" t="s">
        <v>1543</v>
      </c>
      <c r="B1055" s="21" t="s">
        <v>966</v>
      </c>
      <c r="C1055" s="22" t="s">
        <v>190</v>
      </c>
      <c r="D1055" s="79" t="s">
        <v>861</v>
      </c>
      <c r="E1055" s="41">
        <v>0.04</v>
      </c>
      <c r="F1055" s="41">
        <v>2.1600000000000001E-2</v>
      </c>
      <c r="G1055" s="33">
        <f t="shared" si="105"/>
        <v>35000</v>
      </c>
      <c r="H1055" s="33">
        <f t="shared" si="104"/>
        <v>756</v>
      </c>
    </row>
    <row r="1056" spans="1:8" ht="22.5" x14ac:dyDescent="0.25">
      <c r="A1056" s="23" t="s">
        <v>1544</v>
      </c>
      <c r="B1056" s="24" t="s">
        <v>1463</v>
      </c>
      <c r="C1056" s="25" t="s">
        <v>1464</v>
      </c>
      <c r="D1056" s="80" t="s">
        <v>60</v>
      </c>
      <c r="E1056" s="42">
        <v>95.8</v>
      </c>
      <c r="F1056" s="42">
        <v>51.731999999999999</v>
      </c>
      <c r="G1056" s="33">
        <f>+G1002</f>
        <v>392026</v>
      </c>
      <c r="H1056" s="33">
        <f t="shared" si="104"/>
        <v>20280289.032000002</v>
      </c>
    </row>
    <row r="1057" spans="1:8" x14ac:dyDescent="0.25">
      <c r="A1057" s="23" t="s">
        <v>1545</v>
      </c>
      <c r="B1057" s="24" t="s">
        <v>1255</v>
      </c>
      <c r="C1057" s="25" t="s">
        <v>1256</v>
      </c>
      <c r="D1057" s="80" t="s">
        <v>60</v>
      </c>
      <c r="E1057" s="42">
        <v>1.0800000000000001E-2</v>
      </c>
      <c r="F1057" s="42">
        <v>5.8320000000000004E-3</v>
      </c>
      <c r="G1057" s="33">
        <f>+G1045</f>
        <v>4500000</v>
      </c>
      <c r="H1057" s="33">
        <f t="shared" si="104"/>
        <v>26244</v>
      </c>
    </row>
    <row r="1058" spans="1:8" ht="22.5" x14ac:dyDescent="0.25">
      <c r="A1058" s="23" t="s">
        <v>1546</v>
      </c>
      <c r="B1058" s="24" t="s">
        <v>892</v>
      </c>
      <c r="C1058" s="25" t="s">
        <v>893</v>
      </c>
      <c r="D1058" s="80" t="s">
        <v>60</v>
      </c>
      <c r="E1058" s="42">
        <v>6.1999999999999998E-3</v>
      </c>
      <c r="F1058" s="42">
        <v>3.3479999999999998E-3</v>
      </c>
      <c r="G1058" s="33">
        <f>+G1039</f>
        <v>12500000</v>
      </c>
      <c r="H1058" s="33">
        <f t="shared" si="104"/>
        <v>41850</v>
      </c>
    </row>
    <row r="1059" spans="1:8" ht="33.75" x14ac:dyDescent="0.25">
      <c r="A1059" s="23" t="s">
        <v>1547</v>
      </c>
      <c r="B1059" s="24" t="s">
        <v>1259</v>
      </c>
      <c r="C1059" s="25" t="s">
        <v>1260</v>
      </c>
      <c r="D1059" s="80" t="s">
        <v>54</v>
      </c>
      <c r="E1059" s="42">
        <v>0.15</v>
      </c>
      <c r="F1059" s="42">
        <v>8.1000000000000003E-2</v>
      </c>
      <c r="G1059" s="33">
        <f>+G1040</f>
        <v>2350000</v>
      </c>
      <c r="H1059" s="33">
        <f t="shared" si="104"/>
        <v>190350</v>
      </c>
    </row>
    <row r="1060" spans="1:8" ht="21" x14ac:dyDescent="0.25">
      <c r="A1060" s="15" t="s">
        <v>1548</v>
      </c>
      <c r="B1060" s="16" t="s">
        <v>1549</v>
      </c>
      <c r="C1060" s="16" t="s">
        <v>1550</v>
      </c>
      <c r="D1060" s="77" t="s">
        <v>604</v>
      </c>
      <c r="E1060" s="125">
        <v>0.54</v>
      </c>
      <c r="F1060" s="125"/>
      <c r="G1060" s="33"/>
      <c r="H1060" s="33"/>
    </row>
    <row r="1061" spans="1:8" x14ac:dyDescent="0.25">
      <c r="A1061" s="17" t="s">
        <v>1551</v>
      </c>
      <c r="B1061" s="18" t="s">
        <v>8</v>
      </c>
      <c r="C1061" s="19" t="s">
        <v>35</v>
      </c>
      <c r="D1061" s="78" t="s">
        <v>858</v>
      </c>
      <c r="E1061" s="40">
        <v>0.18</v>
      </c>
      <c r="F1061" s="40">
        <v>9.7199999999999995E-2</v>
      </c>
      <c r="G1061" s="33">
        <f>+G1047</f>
        <v>26500</v>
      </c>
      <c r="H1061" s="33">
        <f t="shared" ref="H1061:H1064" si="106">G1061*F1061</f>
        <v>2575.7999999999997</v>
      </c>
    </row>
    <row r="1062" spans="1:8" x14ac:dyDescent="0.25">
      <c r="A1062" s="20" t="s">
        <v>1552</v>
      </c>
      <c r="B1062" s="21" t="s">
        <v>1235</v>
      </c>
      <c r="C1062" s="22" t="s">
        <v>1236</v>
      </c>
      <c r="D1062" s="79" t="s">
        <v>861</v>
      </c>
      <c r="E1062" s="41">
        <v>0.34</v>
      </c>
      <c r="F1062" s="41">
        <v>0.18360000000000001</v>
      </c>
      <c r="G1062" s="33">
        <f>+G1049</f>
        <v>200</v>
      </c>
      <c r="H1062" s="33">
        <f t="shared" si="106"/>
        <v>36.720000000000006</v>
      </c>
    </row>
    <row r="1063" spans="1:8" ht="22.5" x14ac:dyDescent="0.25">
      <c r="A1063" s="23" t="s">
        <v>1553</v>
      </c>
      <c r="B1063" s="24" t="s">
        <v>1463</v>
      </c>
      <c r="C1063" s="25" t="s">
        <v>1464</v>
      </c>
      <c r="D1063" s="80" t="s">
        <v>60</v>
      </c>
      <c r="E1063" s="42">
        <v>24</v>
      </c>
      <c r="F1063" s="42">
        <v>12.96</v>
      </c>
      <c r="G1063" s="33">
        <f>+G1056</f>
        <v>392026</v>
      </c>
      <c r="H1063" s="33">
        <f t="shared" si="106"/>
        <v>5080656.96</v>
      </c>
    </row>
    <row r="1064" spans="1:8" x14ac:dyDescent="0.25">
      <c r="A1064" s="23" t="s">
        <v>1554</v>
      </c>
      <c r="B1064" s="24" t="s">
        <v>1255</v>
      </c>
      <c r="C1064" s="25" t="s">
        <v>1256</v>
      </c>
      <c r="D1064" s="80" t="s">
        <v>60</v>
      </c>
      <c r="E1064" s="42">
        <v>2.8E-3</v>
      </c>
      <c r="F1064" s="42">
        <v>1.5120000000000001E-3</v>
      </c>
      <c r="G1064" s="33">
        <f>+G1057</f>
        <v>4500000</v>
      </c>
      <c r="H1064" s="33">
        <f t="shared" si="106"/>
        <v>6804.0000000000009</v>
      </c>
    </row>
    <row r="1065" spans="1:8" ht="63" x14ac:dyDescent="0.25">
      <c r="A1065" s="15" t="s">
        <v>1555</v>
      </c>
      <c r="B1065" s="16" t="s">
        <v>1556</v>
      </c>
      <c r="C1065" s="16" t="s">
        <v>1557</v>
      </c>
      <c r="D1065" s="77" t="s">
        <v>604</v>
      </c>
      <c r="E1065" s="125">
        <v>0.54</v>
      </c>
      <c r="F1065" s="125"/>
      <c r="G1065" s="33"/>
      <c r="H1065" s="33"/>
    </row>
    <row r="1066" spans="1:8" x14ac:dyDescent="0.25">
      <c r="A1066" s="17" t="s">
        <v>1558</v>
      </c>
      <c r="B1066" s="18" t="s">
        <v>8</v>
      </c>
      <c r="C1066" s="19" t="s">
        <v>35</v>
      </c>
      <c r="D1066" s="78" t="s">
        <v>858</v>
      </c>
      <c r="E1066" s="40">
        <v>33.08</v>
      </c>
      <c r="F1066" s="40">
        <v>17.863199999999999</v>
      </c>
      <c r="G1066" s="33">
        <f>+G1061</f>
        <v>26500</v>
      </c>
      <c r="H1066" s="33">
        <f t="shared" ref="H1066:H1079" si="107">G1066*F1066</f>
        <v>473374.8</v>
      </c>
    </row>
    <row r="1067" spans="1:8" x14ac:dyDescent="0.25">
      <c r="A1067" s="17" t="s">
        <v>1559</v>
      </c>
      <c r="B1067" s="18" t="s">
        <v>30</v>
      </c>
      <c r="C1067" s="19" t="s">
        <v>15</v>
      </c>
      <c r="D1067" s="78" t="s">
        <v>858</v>
      </c>
      <c r="E1067" s="40">
        <v>34.76</v>
      </c>
      <c r="F1067" s="40">
        <v>18.770399999999999</v>
      </c>
      <c r="G1067" s="33">
        <f>+G1048</f>
        <v>0</v>
      </c>
      <c r="H1067" s="33">
        <f t="shared" si="107"/>
        <v>0</v>
      </c>
    </row>
    <row r="1068" spans="1:8" ht="22.5" x14ac:dyDescent="0.25">
      <c r="A1068" s="20" t="s">
        <v>1560</v>
      </c>
      <c r="B1068" s="21" t="s">
        <v>1561</v>
      </c>
      <c r="C1068" s="22" t="s">
        <v>76</v>
      </c>
      <c r="D1068" s="79" t="s">
        <v>861</v>
      </c>
      <c r="E1068" s="41">
        <v>13</v>
      </c>
      <c r="F1068" s="41">
        <v>7.02</v>
      </c>
      <c r="G1068" s="33">
        <f>+G265</f>
        <v>148642</v>
      </c>
      <c r="H1068" s="33">
        <f t="shared" si="107"/>
        <v>1043466.84</v>
      </c>
    </row>
    <row r="1069" spans="1:8" x14ac:dyDescent="0.25">
      <c r="A1069" s="20" t="s">
        <v>1562</v>
      </c>
      <c r="B1069" s="21" t="s">
        <v>1563</v>
      </c>
      <c r="C1069" s="22" t="s">
        <v>1564</v>
      </c>
      <c r="D1069" s="79" t="s">
        <v>861</v>
      </c>
      <c r="E1069" s="41">
        <v>4.63</v>
      </c>
      <c r="F1069" s="41">
        <v>2.5002</v>
      </c>
      <c r="G1069" s="32">
        <v>3500</v>
      </c>
      <c r="H1069" s="33">
        <f t="shared" si="107"/>
        <v>8750.7000000000007</v>
      </c>
    </row>
    <row r="1070" spans="1:8" x14ac:dyDescent="0.25">
      <c r="A1070" s="20" t="s">
        <v>1565</v>
      </c>
      <c r="B1070" s="21" t="s">
        <v>1566</v>
      </c>
      <c r="C1070" s="22" t="s">
        <v>155</v>
      </c>
      <c r="D1070" s="79" t="s">
        <v>861</v>
      </c>
      <c r="E1070" s="41">
        <v>6.55</v>
      </c>
      <c r="F1070" s="41">
        <v>3.5369999999999999</v>
      </c>
      <c r="G1070" s="33">
        <f>+G61</f>
        <v>237455</v>
      </c>
      <c r="H1070" s="33">
        <f t="shared" si="107"/>
        <v>839878.33499999996</v>
      </c>
    </row>
    <row r="1071" spans="1:8" x14ac:dyDescent="0.25">
      <c r="A1071" s="20" t="s">
        <v>1567</v>
      </c>
      <c r="B1071" s="21" t="s">
        <v>1238</v>
      </c>
      <c r="C1071" s="22" t="s">
        <v>1239</v>
      </c>
      <c r="D1071" s="79" t="s">
        <v>861</v>
      </c>
      <c r="E1071" s="41">
        <v>1.98</v>
      </c>
      <c r="F1071" s="41">
        <v>1.0691999999999999</v>
      </c>
      <c r="G1071" s="33">
        <f>+G1050</f>
        <v>223109</v>
      </c>
      <c r="H1071" s="33">
        <f t="shared" si="107"/>
        <v>238548.14279999997</v>
      </c>
    </row>
    <row r="1072" spans="1:8" x14ac:dyDescent="0.25">
      <c r="A1072" s="20" t="s">
        <v>1568</v>
      </c>
      <c r="B1072" s="21" t="s">
        <v>1241</v>
      </c>
      <c r="C1072" s="22" t="s">
        <v>1242</v>
      </c>
      <c r="D1072" s="79" t="s">
        <v>861</v>
      </c>
      <c r="E1072" s="41">
        <v>2.37</v>
      </c>
      <c r="F1072" s="41">
        <v>1.2798</v>
      </c>
      <c r="G1072" s="33">
        <f>+G1051</f>
        <v>223109</v>
      </c>
      <c r="H1072" s="33">
        <f t="shared" si="107"/>
        <v>285534.8982</v>
      </c>
    </row>
    <row r="1073" spans="1:8" x14ac:dyDescent="0.25">
      <c r="A1073" s="20" t="s">
        <v>1569</v>
      </c>
      <c r="B1073" s="21" t="s">
        <v>1570</v>
      </c>
      <c r="C1073" s="22" t="s">
        <v>1571</v>
      </c>
      <c r="D1073" s="79" t="s">
        <v>861</v>
      </c>
      <c r="E1073" s="41">
        <v>0.53</v>
      </c>
      <c r="F1073" s="41">
        <v>0.28620000000000001</v>
      </c>
      <c r="G1073" s="32">
        <v>4000</v>
      </c>
      <c r="H1073" s="33">
        <f t="shared" si="107"/>
        <v>1144.8</v>
      </c>
    </row>
    <row r="1074" spans="1:8" x14ac:dyDescent="0.25">
      <c r="A1074" s="20" t="s">
        <v>1572</v>
      </c>
      <c r="B1074" s="21" t="s">
        <v>1245</v>
      </c>
      <c r="C1074" s="22" t="s">
        <v>1246</v>
      </c>
      <c r="D1074" s="79" t="s">
        <v>861</v>
      </c>
      <c r="E1074" s="41">
        <v>1</v>
      </c>
      <c r="F1074" s="41">
        <v>0.54</v>
      </c>
      <c r="G1074" s="33">
        <f>+G1053</f>
        <v>60000</v>
      </c>
      <c r="H1074" s="33">
        <f t="shared" si="107"/>
        <v>32400.000000000004</v>
      </c>
    </row>
    <row r="1075" spans="1:8" ht="22.5" x14ac:dyDescent="0.25">
      <c r="A1075" s="20" t="s">
        <v>1573</v>
      </c>
      <c r="B1075" s="21" t="s">
        <v>966</v>
      </c>
      <c r="C1075" s="22" t="s">
        <v>190</v>
      </c>
      <c r="D1075" s="79" t="s">
        <v>861</v>
      </c>
      <c r="E1075" s="41">
        <v>0.04</v>
      </c>
      <c r="F1075" s="41">
        <v>2.1600000000000001E-2</v>
      </c>
      <c r="G1075" s="33">
        <f>+G1055</f>
        <v>35000</v>
      </c>
      <c r="H1075" s="33">
        <f t="shared" si="107"/>
        <v>756</v>
      </c>
    </row>
    <row r="1076" spans="1:8" x14ac:dyDescent="0.25">
      <c r="A1076" s="23" t="s">
        <v>1574</v>
      </c>
      <c r="B1076" s="24" t="s">
        <v>1062</v>
      </c>
      <c r="C1076" s="25" t="s">
        <v>194</v>
      </c>
      <c r="D1076" s="80" t="s">
        <v>54</v>
      </c>
      <c r="E1076" s="42">
        <v>2.68</v>
      </c>
      <c r="F1076" s="42">
        <v>1.4472</v>
      </c>
      <c r="G1076" s="33">
        <f>+G972</f>
        <v>0</v>
      </c>
      <c r="H1076" s="33">
        <f t="shared" si="107"/>
        <v>0</v>
      </c>
    </row>
    <row r="1077" spans="1:8" x14ac:dyDescent="0.25">
      <c r="A1077" s="23" t="s">
        <v>1575</v>
      </c>
      <c r="B1077" s="24" t="s">
        <v>1576</v>
      </c>
      <c r="C1077" s="25" t="s">
        <v>1577</v>
      </c>
      <c r="D1077" s="80" t="s">
        <v>54</v>
      </c>
      <c r="E1077" s="42">
        <v>99.2</v>
      </c>
      <c r="F1077" s="42">
        <v>53.567999999999998</v>
      </c>
      <c r="G1077" s="35">
        <f>+G62</f>
        <v>22300</v>
      </c>
      <c r="H1077" s="33">
        <f t="shared" si="107"/>
        <v>1194566.3999999999</v>
      </c>
    </row>
    <row r="1078" spans="1:8" ht="22.5" x14ac:dyDescent="0.25">
      <c r="A1078" s="23" t="s">
        <v>1578</v>
      </c>
      <c r="B1078" s="24" t="s">
        <v>892</v>
      </c>
      <c r="C1078" s="25" t="s">
        <v>893</v>
      </c>
      <c r="D1078" s="80" t="s">
        <v>60</v>
      </c>
      <c r="E1078" s="42">
        <v>6.13E-3</v>
      </c>
      <c r="F1078" s="42">
        <v>3.31E-3</v>
      </c>
      <c r="G1078" s="33">
        <f>+G1058</f>
        <v>12500000</v>
      </c>
      <c r="H1078" s="33">
        <f t="shared" si="107"/>
        <v>41375</v>
      </c>
    </row>
    <row r="1079" spans="1:8" ht="33.75" x14ac:dyDescent="0.25">
      <c r="A1079" s="23" t="s">
        <v>1579</v>
      </c>
      <c r="B1079" s="24" t="s">
        <v>1259</v>
      </c>
      <c r="C1079" s="25" t="s">
        <v>1260</v>
      </c>
      <c r="D1079" s="80" t="s">
        <v>54</v>
      </c>
      <c r="E1079" s="42">
        <v>0.15</v>
      </c>
      <c r="F1079" s="42">
        <v>8.1000000000000003E-2</v>
      </c>
      <c r="G1079" s="33">
        <f>+G1059</f>
        <v>2350000</v>
      </c>
      <c r="H1079" s="33">
        <f t="shared" si="107"/>
        <v>190350</v>
      </c>
    </row>
    <row r="1080" spans="1:8" ht="21" x14ac:dyDescent="0.25">
      <c r="A1080" s="15" t="s">
        <v>1580</v>
      </c>
      <c r="B1080" s="16" t="s">
        <v>1581</v>
      </c>
      <c r="C1080" s="16" t="s">
        <v>1582</v>
      </c>
      <c r="D1080" s="77" t="s">
        <v>60</v>
      </c>
      <c r="E1080" s="125">
        <v>5.4539999999999997</v>
      </c>
      <c r="F1080" s="125"/>
      <c r="G1080" s="35">
        <f>+G913</f>
        <v>4500000</v>
      </c>
      <c r="H1080" s="33">
        <f>+G1080*E1080</f>
        <v>24543000</v>
      </c>
    </row>
    <row r="1081" spans="1:8" ht="42" x14ac:dyDescent="0.25">
      <c r="A1081" s="15" t="s">
        <v>1583</v>
      </c>
      <c r="B1081" s="16" t="s">
        <v>1584</v>
      </c>
      <c r="C1081" s="16" t="s">
        <v>1585</v>
      </c>
      <c r="D1081" s="77" t="s">
        <v>604</v>
      </c>
      <c r="E1081" s="125">
        <v>0.52</v>
      </c>
      <c r="F1081" s="125"/>
      <c r="G1081" s="33"/>
      <c r="H1081" s="33"/>
    </row>
    <row r="1082" spans="1:8" x14ac:dyDescent="0.25">
      <c r="A1082" s="17" t="s">
        <v>1586</v>
      </c>
      <c r="B1082" s="18" t="s">
        <v>8</v>
      </c>
      <c r="C1082" s="19" t="s">
        <v>35</v>
      </c>
      <c r="D1082" s="78" t="s">
        <v>858</v>
      </c>
      <c r="E1082" s="40">
        <v>41.6</v>
      </c>
      <c r="F1082" s="40">
        <v>21.632000000000001</v>
      </c>
      <c r="G1082" s="33">
        <f>+G1066</f>
        <v>26500</v>
      </c>
      <c r="H1082" s="33">
        <f t="shared" ref="H1082:H1091" si="108">G1082*F1082</f>
        <v>573248</v>
      </c>
    </row>
    <row r="1083" spans="1:8" x14ac:dyDescent="0.25">
      <c r="A1083" s="17" t="s">
        <v>1587</v>
      </c>
      <c r="B1083" s="18" t="s">
        <v>30</v>
      </c>
      <c r="C1083" s="19" t="s">
        <v>15</v>
      </c>
      <c r="D1083" s="78" t="s">
        <v>858</v>
      </c>
      <c r="E1083" s="40">
        <v>24.19</v>
      </c>
      <c r="F1083" s="40">
        <v>12.578799999999999</v>
      </c>
      <c r="G1083" s="33">
        <f>+G1067</f>
        <v>0</v>
      </c>
      <c r="H1083" s="33">
        <f t="shared" si="108"/>
        <v>0</v>
      </c>
    </row>
    <row r="1084" spans="1:8" ht="22.5" x14ac:dyDescent="0.25">
      <c r="A1084" s="20" t="s">
        <v>1588</v>
      </c>
      <c r="B1084" s="21" t="s">
        <v>1561</v>
      </c>
      <c r="C1084" s="22" t="s">
        <v>76</v>
      </c>
      <c r="D1084" s="79" t="s">
        <v>861</v>
      </c>
      <c r="E1084" s="41">
        <v>2.3199999999999998</v>
      </c>
      <c r="F1084" s="41">
        <v>1.2063999999999999</v>
      </c>
      <c r="G1084" s="33">
        <f>+G1068</f>
        <v>148642</v>
      </c>
      <c r="H1084" s="33">
        <f t="shared" si="108"/>
        <v>179321.70879999999</v>
      </c>
    </row>
    <row r="1085" spans="1:8" x14ac:dyDescent="0.25">
      <c r="A1085" s="20" t="s">
        <v>1589</v>
      </c>
      <c r="B1085" s="21" t="s">
        <v>1566</v>
      </c>
      <c r="C1085" s="22" t="s">
        <v>155</v>
      </c>
      <c r="D1085" s="79" t="s">
        <v>861</v>
      </c>
      <c r="E1085" s="41">
        <v>5.92</v>
      </c>
      <c r="F1085" s="41">
        <v>3.0783999999999998</v>
      </c>
      <c r="G1085" s="33">
        <f>+G1070</f>
        <v>237455</v>
      </c>
      <c r="H1085" s="33">
        <f t="shared" si="108"/>
        <v>730981.47199999995</v>
      </c>
    </row>
    <row r="1086" spans="1:8" x14ac:dyDescent="0.25">
      <c r="A1086" s="20" t="s">
        <v>1590</v>
      </c>
      <c r="B1086" s="21" t="s">
        <v>1238</v>
      </c>
      <c r="C1086" s="22" t="s">
        <v>1239</v>
      </c>
      <c r="D1086" s="79" t="s">
        <v>861</v>
      </c>
      <c r="E1086" s="41">
        <v>7.28</v>
      </c>
      <c r="F1086" s="41">
        <v>3.7856000000000001</v>
      </c>
      <c r="G1086" s="33">
        <f>+G1071</f>
        <v>223109</v>
      </c>
      <c r="H1086" s="33">
        <f t="shared" si="108"/>
        <v>844601.43040000007</v>
      </c>
    </row>
    <row r="1087" spans="1:8" x14ac:dyDescent="0.25">
      <c r="A1087" s="20" t="s">
        <v>1591</v>
      </c>
      <c r="B1087" s="21" t="s">
        <v>1241</v>
      </c>
      <c r="C1087" s="22" t="s">
        <v>1242</v>
      </c>
      <c r="D1087" s="79" t="s">
        <v>861</v>
      </c>
      <c r="E1087" s="41">
        <v>6.72</v>
      </c>
      <c r="F1087" s="41">
        <v>3.4944000000000002</v>
      </c>
      <c r="G1087" s="33">
        <f>+G1072</f>
        <v>223109</v>
      </c>
      <c r="H1087" s="33">
        <f t="shared" si="108"/>
        <v>779632.08960000006</v>
      </c>
    </row>
    <row r="1088" spans="1:8" ht="22.5" x14ac:dyDescent="0.25">
      <c r="A1088" s="20" t="s">
        <v>1592</v>
      </c>
      <c r="B1088" s="21" t="s">
        <v>1593</v>
      </c>
      <c r="C1088" s="22" t="s">
        <v>1594</v>
      </c>
      <c r="D1088" s="79" t="s">
        <v>861</v>
      </c>
      <c r="E1088" s="41">
        <v>0.52</v>
      </c>
      <c r="F1088" s="41">
        <v>0.27039999999999997</v>
      </c>
      <c r="G1088" s="35">
        <f>+G1018</f>
        <v>223109</v>
      </c>
      <c r="H1088" s="33">
        <f t="shared" si="108"/>
        <v>60328.673599999995</v>
      </c>
    </row>
    <row r="1089" spans="1:8" x14ac:dyDescent="0.25">
      <c r="A1089" s="20" t="s">
        <v>1595</v>
      </c>
      <c r="B1089" s="21" t="s">
        <v>1245</v>
      </c>
      <c r="C1089" s="22" t="s">
        <v>1246</v>
      </c>
      <c r="D1089" s="79" t="s">
        <v>861</v>
      </c>
      <c r="E1089" s="41">
        <v>1.43</v>
      </c>
      <c r="F1089" s="41">
        <v>0.74360000000000004</v>
      </c>
      <c r="G1089" s="33">
        <f>+G1074</f>
        <v>60000</v>
      </c>
      <c r="H1089" s="33">
        <f t="shared" si="108"/>
        <v>44616</v>
      </c>
    </row>
    <row r="1090" spans="1:8" x14ac:dyDescent="0.25">
      <c r="A1090" s="23" t="s">
        <v>1596</v>
      </c>
      <c r="B1090" s="24" t="s">
        <v>1062</v>
      </c>
      <c r="C1090" s="25" t="s">
        <v>194</v>
      </c>
      <c r="D1090" s="80" t="s">
        <v>54</v>
      </c>
      <c r="E1090" s="42">
        <v>10.5</v>
      </c>
      <c r="F1090" s="42">
        <v>5.46</v>
      </c>
      <c r="G1090" s="33">
        <f>+G1076</f>
        <v>0</v>
      </c>
      <c r="H1090" s="33">
        <f t="shared" si="108"/>
        <v>0</v>
      </c>
    </row>
    <row r="1091" spans="1:8" ht="22.5" x14ac:dyDescent="0.25">
      <c r="A1091" s="23" t="s">
        <v>1597</v>
      </c>
      <c r="B1091" s="24" t="s">
        <v>1598</v>
      </c>
      <c r="C1091" s="25" t="s">
        <v>1599</v>
      </c>
      <c r="D1091" s="80" t="s">
        <v>54</v>
      </c>
      <c r="E1091" s="42">
        <v>152</v>
      </c>
      <c r="F1091" s="42">
        <v>79.040000000000006</v>
      </c>
      <c r="G1091" s="35">
        <f>+G1077</f>
        <v>22300</v>
      </c>
      <c r="H1091" s="33">
        <f t="shared" si="108"/>
        <v>1762592.0000000002</v>
      </c>
    </row>
    <row r="1092" spans="1:8" ht="31.5" x14ac:dyDescent="0.25">
      <c r="A1092" s="15" t="s">
        <v>1600</v>
      </c>
      <c r="B1092" s="16" t="s">
        <v>1601</v>
      </c>
      <c r="C1092" s="16" t="s">
        <v>1602</v>
      </c>
      <c r="D1092" s="77" t="s">
        <v>604</v>
      </c>
      <c r="E1092" s="125">
        <v>0.25</v>
      </c>
      <c r="F1092" s="125"/>
      <c r="G1092" s="33"/>
      <c r="H1092" s="33"/>
    </row>
    <row r="1093" spans="1:8" x14ac:dyDescent="0.25">
      <c r="A1093" s="17" t="s">
        <v>1603</v>
      </c>
      <c r="B1093" s="18" t="s">
        <v>8</v>
      </c>
      <c r="C1093" s="19" t="s">
        <v>35</v>
      </c>
      <c r="D1093" s="78" t="s">
        <v>858</v>
      </c>
      <c r="E1093" s="40">
        <v>62.399900000000002</v>
      </c>
      <c r="F1093" s="40">
        <v>15.6</v>
      </c>
      <c r="G1093" s="33">
        <f t="shared" ref="G1093:G1102" si="109">+G1082</f>
        <v>26500</v>
      </c>
      <c r="H1093" s="33">
        <f t="shared" ref="H1093:H1102" si="110">G1093*F1093</f>
        <v>413400</v>
      </c>
    </row>
    <row r="1094" spans="1:8" x14ac:dyDescent="0.25">
      <c r="A1094" s="17" t="s">
        <v>1604</v>
      </c>
      <c r="B1094" s="18" t="s">
        <v>30</v>
      </c>
      <c r="C1094" s="19" t="s">
        <v>15</v>
      </c>
      <c r="D1094" s="78" t="s">
        <v>858</v>
      </c>
      <c r="E1094" s="40">
        <v>36.284999999999997</v>
      </c>
      <c r="F1094" s="40">
        <v>9.0711999999999993</v>
      </c>
      <c r="G1094" s="33">
        <f t="shared" si="109"/>
        <v>0</v>
      </c>
      <c r="H1094" s="33">
        <f t="shared" si="110"/>
        <v>0</v>
      </c>
    </row>
    <row r="1095" spans="1:8" ht="22.5" x14ac:dyDescent="0.25">
      <c r="A1095" s="20" t="s">
        <v>1605</v>
      </c>
      <c r="B1095" s="21" t="s">
        <v>1561</v>
      </c>
      <c r="C1095" s="22" t="s">
        <v>76</v>
      </c>
      <c r="D1095" s="79" t="s">
        <v>861</v>
      </c>
      <c r="E1095" s="41">
        <v>2.2545000000000002</v>
      </c>
      <c r="F1095" s="41">
        <v>0.56362500000000004</v>
      </c>
      <c r="G1095" s="33">
        <f t="shared" si="109"/>
        <v>148642</v>
      </c>
      <c r="H1095" s="33">
        <f t="shared" si="110"/>
        <v>83778.347250000006</v>
      </c>
    </row>
    <row r="1096" spans="1:8" x14ac:dyDescent="0.25">
      <c r="A1096" s="20" t="s">
        <v>1606</v>
      </c>
      <c r="B1096" s="21" t="s">
        <v>1566</v>
      </c>
      <c r="C1096" s="22" t="s">
        <v>155</v>
      </c>
      <c r="D1096" s="79" t="s">
        <v>861</v>
      </c>
      <c r="E1096" s="41">
        <v>8.8800000000000008</v>
      </c>
      <c r="F1096" s="41">
        <v>2.2200000000000002</v>
      </c>
      <c r="G1096" s="33">
        <f t="shared" si="109"/>
        <v>237455</v>
      </c>
      <c r="H1096" s="33">
        <f t="shared" si="110"/>
        <v>527150.10000000009</v>
      </c>
    </row>
    <row r="1097" spans="1:8" x14ac:dyDescent="0.25">
      <c r="A1097" s="20" t="s">
        <v>1607</v>
      </c>
      <c r="B1097" s="21" t="s">
        <v>1238</v>
      </c>
      <c r="C1097" s="22" t="s">
        <v>1239</v>
      </c>
      <c r="D1097" s="79" t="s">
        <v>861</v>
      </c>
      <c r="E1097" s="41">
        <v>10.92</v>
      </c>
      <c r="F1097" s="41">
        <v>2.73</v>
      </c>
      <c r="G1097" s="33">
        <f t="shared" si="109"/>
        <v>223109</v>
      </c>
      <c r="H1097" s="33">
        <f t="shared" si="110"/>
        <v>609087.56999999995</v>
      </c>
    </row>
    <row r="1098" spans="1:8" x14ac:dyDescent="0.25">
      <c r="A1098" s="20" t="s">
        <v>1608</v>
      </c>
      <c r="B1098" s="21" t="s">
        <v>1241</v>
      </c>
      <c r="C1098" s="22" t="s">
        <v>1242</v>
      </c>
      <c r="D1098" s="79" t="s">
        <v>861</v>
      </c>
      <c r="E1098" s="41">
        <v>10.08</v>
      </c>
      <c r="F1098" s="41">
        <v>2.52</v>
      </c>
      <c r="G1098" s="33">
        <f t="shared" si="109"/>
        <v>223109</v>
      </c>
      <c r="H1098" s="33">
        <f t="shared" si="110"/>
        <v>562234.68000000005</v>
      </c>
    </row>
    <row r="1099" spans="1:8" ht="22.5" x14ac:dyDescent="0.25">
      <c r="A1099" s="20" t="s">
        <v>1609</v>
      </c>
      <c r="B1099" s="21" t="s">
        <v>1593</v>
      </c>
      <c r="C1099" s="22" t="s">
        <v>1594</v>
      </c>
      <c r="D1099" s="79" t="s">
        <v>861</v>
      </c>
      <c r="E1099" s="41">
        <v>0.779999</v>
      </c>
      <c r="F1099" s="41">
        <v>0.19500000000000001</v>
      </c>
      <c r="G1099" s="33">
        <f t="shared" si="109"/>
        <v>223109</v>
      </c>
      <c r="H1099" s="33">
        <f t="shared" si="110"/>
        <v>43506.255000000005</v>
      </c>
    </row>
    <row r="1100" spans="1:8" x14ac:dyDescent="0.25">
      <c r="A1100" s="20" t="s">
        <v>1610</v>
      </c>
      <c r="B1100" s="21" t="s">
        <v>1245</v>
      </c>
      <c r="C1100" s="22" t="s">
        <v>1246</v>
      </c>
      <c r="D1100" s="79" t="s">
        <v>861</v>
      </c>
      <c r="E1100" s="41">
        <v>2.145</v>
      </c>
      <c r="F1100" s="41">
        <v>0.53625</v>
      </c>
      <c r="G1100" s="33">
        <f t="shared" si="109"/>
        <v>60000</v>
      </c>
      <c r="H1100" s="33">
        <f t="shared" si="110"/>
        <v>32175</v>
      </c>
    </row>
    <row r="1101" spans="1:8" x14ac:dyDescent="0.25">
      <c r="A1101" s="23" t="s">
        <v>1611</v>
      </c>
      <c r="B1101" s="24" t="s">
        <v>1062</v>
      </c>
      <c r="C1101" s="25" t="s">
        <v>194</v>
      </c>
      <c r="D1101" s="80" t="s">
        <v>54</v>
      </c>
      <c r="E1101" s="42">
        <v>15.75</v>
      </c>
      <c r="F1101" s="42">
        <v>3.9375</v>
      </c>
      <c r="G1101" s="33">
        <f t="shared" si="109"/>
        <v>0</v>
      </c>
      <c r="H1101" s="33">
        <f t="shared" si="110"/>
        <v>0</v>
      </c>
    </row>
    <row r="1102" spans="1:8" ht="22.5" x14ac:dyDescent="0.25">
      <c r="A1102" s="23" t="s">
        <v>1612</v>
      </c>
      <c r="B1102" s="24" t="s">
        <v>1598</v>
      </c>
      <c r="C1102" s="25" t="s">
        <v>1599</v>
      </c>
      <c r="D1102" s="80" t="s">
        <v>54</v>
      </c>
      <c r="E1102" s="42">
        <v>228.00059999999999</v>
      </c>
      <c r="F1102" s="42">
        <v>57.0002</v>
      </c>
      <c r="G1102" s="33">
        <f t="shared" si="109"/>
        <v>22300</v>
      </c>
      <c r="H1102" s="33">
        <f t="shared" si="110"/>
        <v>1271104.46</v>
      </c>
    </row>
    <row r="1103" spans="1:8" ht="21" x14ac:dyDescent="0.25">
      <c r="A1103" s="15" t="s">
        <v>1613</v>
      </c>
      <c r="B1103" s="16" t="s">
        <v>1614</v>
      </c>
      <c r="C1103" s="16" t="s">
        <v>1615</v>
      </c>
      <c r="D1103" s="77" t="s">
        <v>175</v>
      </c>
      <c r="E1103" s="125">
        <v>0.36</v>
      </c>
      <c r="F1103" s="125"/>
      <c r="G1103" s="33"/>
      <c r="H1103" s="33"/>
    </row>
    <row r="1104" spans="1:8" x14ac:dyDescent="0.25">
      <c r="A1104" s="17" t="s">
        <v>1616</v>
      </c>
      <c r="B1104" s="18" t="s">
        <v>8</v>
      </c>
      <c r="C1104" s="19" t="s">
        <v>35</v>
      </c>
      <c r="D1104" s="78" t="s">
        <v>858</v>
      </c>
      <c r="E1104" s="40">
        <v>85.6</v>
      </c>
      <c r="F1104" s="40">
        <v>30.815999999999999</v>
      </c>
      <c r="G1104" s="33">
        <f>+G1093</f>
        <v>26500</v>
      </c>
      <c r="H1104" s="33">
        <f t="shared" ref="H1104:H1115" si="111">G1104*F1104</f>
        <v>816624</v>
      </c>
    </row>
    <row r="1105" spans="1:8" x14ac:dyDescent="0.25">
      <c r="A1105" s="17" t="s">
        <v>1617</v>
      </c>
      <c r="B1105" s="18" t="s">
        <v>30</v>
      </c>
      <c r="C1105" s="19" t="s">
        <v>15</v>
      </c>
      <c r="D1105" s="78" t="s">
        <v>858</v>
      </c>
      <c r="E1105" s="40">
        <v>14.85</v>
      </c>
      <c r="F1105" s="40">
        <v>5.3460000000000001</v>
      </c>
      <c r="G1105" s="33">
        <f>+G1094</f>
        <v>0</v>
      </c>
      <c r="H1105" s="33">
        <f t="shared" si="111"/>
        <v>0</v>
      </c>
    </row>
    <row r="1106" spans="1:8" ht="33.75" x14ac:dyDescent="0.25">
      <c r="A1106" s="20" t="s">
        <v>1618</v>
      </c>
      <c r="B1106" s="21" t="s">
        <v>1124</v>
      </c>
      <c r="C1106" s="22" t="s">
        <v>1125</v>
      </c>
      <c r="D1106" s="79" t="s">
        <v>861</v>
      </c>
      <c r="E1106" s="41">
        <v>11.45</v>
      </c>
      <c r="F1106" s="41">
        <v>4.1219999999999999</v>
      </c>
      <c r="G1106" s="33">
        <f>+G780</f>
        <v>11500</v>
      </c>
      <c r="H1106" s="33">
        <f t="shared" si="111"/>
        <v>47403</v>
      </c>
    </row>
    <row r="1107" spans="1:8" ht="33.75" x14ac:dyDescent="0.25">
      <c r="A1107" s="20" t="s">
        <v>1619</v>
      </c>
      <c r="B1107" s="21" t="s">
        <v>875</v>
      </c>
      <c r="C1107" s="22" t="s">
        <v>314</v>
      </c>
      <c r="D1107" s="79" t="s">
        <v>861</v>
      </c>
      <c r="E1107" s="41">
        <v>10</v>
      </c>
      <c r="F1107" s="41">
        <v>3.6</v>
      </c>
      <c r="G1107" s="33">
        <f>+G1052</f>
        <v>113021</v>
      </c>
      <c r="H1107" s="33">
        <f t="shared" si="111"/>
        <v>406875.60000000003</v>
      </c>
    </row>
    <row r="1108" spans="1:8" ht="22.5" x14ac:dyDescent="0.25">
      <c r="A1108" s="20" t="s">
        <v>1620</v>
      </c>
      <c r="B1108" s="21" t="s">
        <v>1621</v>
      </c>
      <c r="C1108" s="22" t="s">
        <v>1622</v>
      </c>
      <c r="D1108" s="79" t="s">
        <v>861</v>
      </c>
      <c r="E1108" s="41">
        <v>3.02</v>
      </c>
      <c r="F1108" s="41">
        <v>1.0871999999999999</v>
      </c>
      <c r="G1108" s="35">
        <f>+G943</f>
        <v>113021</v>
      </c>
      <c r="H1108" s="33">
        <f t="shared" si="111"/>
        <v>122876.43119999999</v>
      </c>
    </row>
    <row r="1109" spans="1:8" ht="22.5" x14ac:dyDescent="0.25">
      <c r="A1109" s="20" t="s">
        <v>1623</v>
      </c>
      <c r="B1109" s="21" t="s">
        <v>966</v>
      </c>
      <c r="C1109" s="22" t="s">
        <v>190</v>
      </c>
      <c r="D1109" s="79" t="s">
        <v>861</v>
      </c>
      <c r="E1109" s="41">
        <v>1.83</v>
      </c>
      <c r="F1109" s="41">
        <v>0.65880000000000005</v>
      </c>
      <c r="G1109" s="33">
        <f>+G1075</f>
        <v>35000</v>
      </c>
      <c r="H1109" s="33">
        <f t="shared" si="111"/>
        <v>23058.000000000004</v>
      </c>
    </row>
    <row r="1110" spans="1:8" ht="22.5" x14ac:dyDescent="0.25">
      <c r="A1110" s="23" t="s">
        <v>1624</v>
      </c>
      <c r="B1110" s="24" t="s">
        <v>1625</v>
      </c>
      <c r="C1110" s="25" t="s">
        <v>1626</v>
      </c>
      <c r="D1110" s="80" t="s">
        <v>54</v>
      </c>
      <c r="E1110" s="42">
        <v>1.6</v>
      </c>
      <c r="F1110" s="42">
        <v>0.57599999999999996</v>
      </c>
      <c r="G1110" s="32">
        <v>0</v>
      </c>
      <c r="H1110" s="33">
        <f t="shared" si="111"/>
        <v>0</v>
      </c>
    </row>
    <row r="1111" spans="1:8" x14ac:dyDescent="0.25">
      <c r="A1111" s="23" t="s">
        <v>1627</v>
      </c>
      <c r="B1111" s="24" t="s">
        <v>1628</v>
      </c>
      <c r="C1111" s="25" t="s">
        <v>1629</v>
      </c>
      <c r="D1111" s="80" t="s">
        <v>60</v>
      </c>
      <c r="E1111" s="42">
        <v>4.4999999999999998E-2</v>
      </c>
      <c r="F1111" s="42">
        <v>1.6199999999999999E-2</v>
      </c>
      <c r="G1111" s="35">
        <f>+G887</f>
        <v>22500000</v>
      </c>
      <c r="H1111" s="33">
        <f t="shared" si="111"/>
        <v>364500</v>
      </c>
    </row>
    <row r="1112" spans="1:8" x14ac:dyDescent="0.25">
      <c r="A1112" s="23" t="s">
        <v>1630</v>
      </c>
      <c r="B1112" s="24" t="s">
        <v>1631</v>
      </c>
      <c r="C1112" s="25" t="s">
        <v>1632</v>
      </c>
      <c r="D1112" s="80" t="s">
        <v>60</v>
      </c>
      <c r="E1112" s="42">
        <v>7.7999999999999996E-3</v>
      </c>
      <c r="F1112" s="42">
        <v>2.8080000000000002E-3</v>
      </c>
      <c r="G1112" s="32">
        <v>15000000</v>
      </c>
      <c r="H1112" s="33">
        <f t="shared" si="111"/>
        <v>42120</v>
      </c>
    </row>
    <row r="1113" spans="1:8" ht="22.5" x14ac:dyDescent="0.25">
      <c r="A1113" s="23" t="s">
        <v>1633</v>
      </c>
      <c r="B1113" s="24" t="s">
        <v>1634</v>
      </c>
      <c r="C1113" s="25" t="s">
        <v>1635</v>
      </c>
      <c r="D1113" s="80" t="s">
        <v>604</v>
      </c>
      <c r="E1113" s="42">
        <v>1E-4</v>
      </c>
      <c r="F1113" s="42">
        <v>3.6000000000000001E-5</v>
      </c>
      <c r="G1113" s="32">
        <v>2500000</v>
      </c>
      <c r="H1113" s="33">
        <f t="shared" si="111"/>
        <v>90</v>
      </c>
    </row>
    <row r="1114" spans="1:8" x14ac:dyDescent="0.25">
      <c r="A1114" s="23" t="s">
        <v>1636</v>
      </c>
      <c r="B1114" s="24" t="s">
        <v>1110</v>
      </c>
      <c r="C1114" s="25" t="s">
        <v>405</v>
      </c>
      <c r="D1114" s="80" t="s">
        <v>60</v>
      </c>
      <c r="E1114" s="42">
        <v>6.4999999999999997E-3</v>
      </c>
      <c r="F1114" s="42">
        <v>2.3400000000000001E-3</v>
      </c>
      <c r="G1114" s="33">
        <f>+G935</f>
        <v>22500000</v>
      </c>
      <c r="H1114" s="33">
        <f t="shared" si="111"/>
        <v>52650</v>
      </c>
    </row>
    <row r="1115" spans="1:8" ht="22.5" x14ac:dyDescent="0.25">
      <c r="A1115" s="23" t="s">
        <v>1637</v>
      </c>
      <c r="B1115" s="24" t="s">
        <v>1638</v>
      </c>
      <c r="C1115" s="25" t="s">
        <v>1639</v>
      </c>
      <c r="D1115" s="80" t="s">
        <v>60</v>
      </c>
      <c r="E1115" s="42">
        <v>8.3999999999999995E-3</v>
      </c>
      <c r="F1115" s="42">
        <v>3.0240000000000002E-3</v>
      </c>
      <c r="G1115" s="32">
        <v>14000000</v>
      </c>
      <c r="H1115" s="33">
        <f t="shared" si="111"/>
        <v>42336</v>
      </c>
    </row>
    <row r="1116" spans="1:8" ht="31.5" x14ac:dyDescent="0.25">
      <c r="A1116" s="15" t="s">
        <v>1640</v>
      </c>
      <c r="B1116" s="16" t="s">
        <v>1641</v>
      </c>
      <c r="C1116" s="16" t="s">
        <v>1642</v>
      </c>
      <c r="D1116" s="77" t="s">
        <v>164</v>
      </c>
      <c r="E1116" s="125">
        <v>12</v>
      </c>
      <c r="F1116" s="125"/>
      <c r="G1116" s="32">
        <v>917108</v>
      </c>
      <c r="H1116" s="33">
        <f>+G1116*E1116</f>
        <v>11005296</v>
      </c>
    </row>
    <row r="1117" spans="1:8" ht="21" x14ac:dyDescent="0.25">
      <c r="A1117" s="15" t="s">
        <v>1643</v>
      </c>
      <c r="B1117" s="16" t="s">
        <v>1644</v>
      </c>
      <c r="C1117" s="16" t="s">
        <v>1645</v>
      </c>
      <c r="D1117" s="77" t="s">
        <v>1646</v>
      </c>
      <c r="E1117" s="125">
        <v>0.02</v>
      </c>
      <c r="F1117" s="125"/>
      <c r="G1117" s="33"/>
      <c r="H1117" s="33"/>
    </row>
    <row r="1118" spans="1:8" x14ac:dyDescent="0.25">
      <c r="A1118" s="17" t="s">
        <v>1647</v>
      </c>
      <c r="B1118" s="18" t="s">
        <v>8</v>
      </c>
      <c r="C1118" s="19" t="s">
        <v>35</v>
      </c>
      <c r="D1118" s="78" t="s">
        <v>858</v>
      </c>
      <c r="E1118" s="40">
        <v>320</v>
      </c>
      <c r="F1118" s="40">
        <v>6.4</v>
      </c>
      <c r="G1118" s="33">
        <f>+G1104</f>
        <v>26500</v>
      </c>
      <c r="H1118" s="33">
        <f t="shared" ref="H1118:H1128" si="112">G1118*F1118</f>
        <v>169600</v>
      </c>
    </row>
    <row r="1119" spans="1:8" x14ac:dyDescent="0.25">
      <c r="A1119" s="17" t="s">
        <v>1648</v>
      </c>
      <c r="B1119" s="18" t="s">
        <v>30</v>
      </c>
      <c r="C1119" s="19" t="s">
        <v>15</v>
      </c>
      <c r="D1119" s="78" t="s">
        <v>858</v>
      </c>
      <c r="E1119" s="40">
        <v>14.53</v>
      </c>
      <c r="F1119" s="40">
        <v>0.29060000000000002</v>
      </c>
      <c r="G1119" s="33">
        <f>+G1105</f>
        <v>0</v>
      </c>
      <c r="H1119" s="33">
        <f t="shared" si="112"/>
        <v>0</v>
      </c>
    </row>
    <row r="1120" spans="1:8" ht="33.75" x14ac:dyDescent="0.25">
      <c r="A1120" s="20" t="s">
        <v>1649</v>
      </c>
      <c r="B1120" s="21" t="s">
        <v>875</v>
      </c>
      <c r="C1120" s="22" t="s">
        <v>314</v>
      </c>
      <c r="D1120" s="79" t="s">
        <v>861</v>
      </c>
      <c r="E1120" s="41">
        <v>1.52</v>
      </c>
      <c r="F1120" s="41">
        <v>3.04E-2</v>
      </c>
      <c r="G1120" s="33">
        <f>+G1107</f>
        <v>113021</v>
      </c>
      <c r="H1120" s="33">
        <f t="shared" si="112"/>
        <v>3435.8384000000001</v>
      </c>
    </row>
    <row r="1121" spans="1:8" ht="22.5" x14ac:dyDescent="0.25">
      <c r="A1121" s="20" t="s">
        <v>1650</v>
      </c>
      <c r="B1121" s="21" t="s">
        <v>1651</v>
      </c>
      <c r="C1121" s="22" t="s">
        <v>1652</v>
      </c>
      <c r="D1121" s="79" t="s">
        <v>861</v>
      </c>
      <c r="E1121" s="41">
        <v>11</v>
      </c>
      <c r="F1121" s="41">
        <v>0.22</v>
      </c>
      <c r="G1121" s="32">
        <v>75000</v>
      </c>
      <c r="H1121" s="33">
        <f t="shared" si="112"/>
        <v>16500</v>
      </c>
    </row>
    <row r="1122" spans="1:8" ht="22.5" x14ac:dyDescent="0.25">
      <c r="A1122" s="20" t="s">
        <v>1653</v>
      </c>
      <c r="B1122" s="21" t="s">
        <v>966</v>
      </c>
      <c r="C1122" s="22" t="s">
        <v>190</v>
      </c>
      <c r="D1122" s="79" t="s">
        <v>861</v>
      </c>
      <c r="E1122" s="41">
        <v>2.0099999999999998</v>
      </c>
      <c r="F1122" s="41">
        <v>4.02E-2</v>
      </c>
      <c r="G1122" s="33">
        <f>+G1109</f>
        <v>35000</v>
      </c>
      <c r="H1122" s="33">
        <f t="shared" si="112"/>
        <v>1407</v>
      </c>
    </row>
    <row r="1123" spans="1:8" ht="22.5" x14ac:dyDescent="0.25">
      <c r="A1123" s="23" t="s">
        <v>1654</v>
      </c>
      <c r="B1123" s="24" t="s">
        <v>1655</v>
      </c>
      <c r="C1123" s="25" t="s">
        <v>1656</v>
      </c>
      <c r="D1123" s="80" t="s">
        <v>60</v>
      </c>
      <c r="E1123" s="42">
        <v>4.8000000000000001E-2</v>
      </c>
      <c r="F1123" s="42">
        <v>9.6000000000000002E-4</v>
      </c>
      <c r="G1123" s="32">
        <v>12000000</v>
      </c>
      <c r="H1123" s="33">
        <f t="shared" si="112"/>
        <v>11520</v>
      </c>
    </row>
    <row r="1124" spans="1:8" ht="22.5" x14ac:dyDescent="0.25">
      <c r="A1124" s="23" t="s">
        <v>1657</v>
      </c>
      <c r="B1124" s="24" t="s">
        <v>1658</v>
      </c>
      <c r="C1124" s="25" t="s">
        <v>1659</v>
      </c>
      <c r="D1124" s="80" t="s">
        <v>60</v>
      </c>
      <c r="E1124" s="42">
        <v>1.9349999999999999E-2</v>
      </c>
      <c r="F1124" s="42">
        <v>3.8699999999999997E-4</v>
      </c>
      <c r="G1124" s="32">
        <v>22500000</v>
      </c>
      <c r="H1124" s="33">
        <f t="shared" si="112"/>
        <v>8707.5</v>
      </c>
    </row>
    <row r="1125" spans="1:8" x14ac:dyDescent="0.25">
      <c r="A1125" s="23" t="s">
        <v>1660</v>
      </c>
      <c r="B1125" s="24" t="s">
        <v>1628</v>
      </c>
      <c r="C1125" s="25" t="s">
        <v>1629</v>
      </c>
      <c r="D1125" s="80" t="s">
        <v>60</v>
      </c>
      <c r="E1125" s="42">
        <v>5.62E-3</v>
      </c>
      <c r="F1125" s="42">
        <v>1.12E-4</v>
      </c>
      <c r="G1125" s="33">
        <f>+G1111</f>
        <v>22500000</v>
      </c>
      <c r="H1125" s="33">
        <f t="shared" si="112"/>
        <v>2520</v>
      </c>
    </row>
    <row r="1126" spans="1:8" ht="22.5" x14ac:dyDescent="0.25">
      <c r="A1126" s="23" t="s">
        <v>1661</v>
      </c>
      <c r="B1126" s="24" t="s">
        <v>1662</v>
      </c>
      <c r="C1126" s="25" t="s">
        <v>1663</v>
      </c>
      <c r="D1126" s="80" t="s">
        <v>60</v>
      </c>
      <c r="E1126" s="42">
        <v>3.3800000000000002E-3</v>
      </c>
      <c r="F1126" s="42">
        <v>6.7999999999999999E-5</v>
      </c>
      <c r="G1126" s="32">
        <v>0</v>
      </c>
      <c r="H1126" s="33">
        <f t="shared" si="112"/>
        <v>0</v>
      </c>
    </row>
    <row r="1127" spans="1:8" x14ac:dyDescent="0.25">
      <c r="A1127" s="23" t="s">
        <v>1664</v>
      </c>
      <c r="B1127" s="24" t="s">
        <v>1665</v>
      </c>
      <c r="C1127" s="25" t="s">
        <v>1666</v>
      </c>
      <c r="D1127" s="80" t="s">
        <v>164</v>
      </c>
      <c r="E1127" s="42">
        <v>100</v>
      </c>
      <c r="F1127" s="42">
        <v>2</v>
      </c>
      <c r="G1127" s="32">
        <v>35000</v>
      </c>
      <c r="H1127" s="33">
        <f t="shared" si="112"/>
        <v>70000</v>
      </c>
    </row>
    <row r="1128" spans="1:8" x14ac:dyDescent="0.25">
      <c r="A1128" s="23" t="s">
        <v>1667</v>
      </c>
      <c r="B1128" s="24" t="s">
        <v>1668</v>
      </c>
      <c r="C1128" s="25" t="s">
        <v>1669</v>
      </c>
      <c r="D1128" s="80" t="s">
        <v>60</v>
      </c>
      <c r="E1128" s="42">
        <v>4.5999999999999996</v>
      </c>
      <c r="F1128" s="42">
        <v>9.1999999999999998E-2</v>
      </c>
      <c r="G1128" s="32">
        <v>14000000</v>
      </c>
      <c r="H1128" s="33">
        <f t="shared" si="112"/>
        <v>1288000</v>
      </c>
    </row>
    <row r="1129" spans="1:8" ht="21" x14ac:dyDescent="0.25">
      <c r="A1129" s="15" t="s">
        <v>1670</v>
      </c>
      <c r="B1129" s="16" t="s">
        <v>1671</v>
      </c>
      <c r="C1129" s="16" t="s">
        <v>1672</v>
      </c>
      <c r="D1129" s="77" t="s">
        <v>107</v>
      </c>
      <c r="E1129" s="125">
        <v>0.01</v>
      </c>
      <c r="F1129" s="125"/>
      <c r="G1129" s="33"/>
      <c r="H1129" s="33"/>
    </row>
    <row r="1130" spans="1:8" x14ac:dyDescent="0.25">
      <c r="A1130" s="17" t="s">
        <v>1673</v>
      </c>
      <c r="B1130" s="18" t="s">
        <v>8</v>
      </c>
      <c r="C1130" s="19" t="s">
        <v>35</v>
      </c>
      <c r="D1130" s="78" t="s">
        <v>858</v>
      </c>
      <c r="E1130" s="40">
        <v>319</v>
      </c>
      <c r="F1130" s="40">
        <v>3.19</v>
      </c>
      <c r="G1130" s="33">
        <f>+G1118</f>
        <v>26500</v>
      </c>
      <c r="H1130" s="33">
        <f t="shared" ref="H1130:H1149" si="113">G1130*F1130</f>
        <v>84535</v>
      </c>
    </row>
    <row r="1131" spans="1:8" x14ac:dyDescent="0.25">
      <c r="A1131" s="17" t="s">
        <v>1674</v>
      </c>
      <c r="B1131" s="18" t="s">
        <v>30</v>
      </c>
      <c r="C1131" s="19" t="s">
        <v>15</v>
      </c>
      <c r="D1131" s="78" t="s">
        <v>858</v>
      </c>
      <c r="E1131" s="40">
        <v>49.99</v>
      </c>
      <c r="F1131" s="40">
        <v>0.49990000000000001</v>
      </c>
      <c r="G1131" s="33">
        <f>+G1119</f>
        <v>0</v>
      </c>
      <c r="H1131" s="33">
        <f t="shared" si="113"/>
        <v>0</v>
      </c>
    </row>
    <row r="1132" spans="1:8" x14ac:dyDescent="0.25">
      <c r="A1132" s="20" t="s">
        <v>1675</v>
      </c>
      <c r="B1132" s="21" t="s">
        <v>870</v>
      </c>
      <c r="C1132" s="22" t="s">
        <v>871</v>
      </c>
      <c r="D1132" s="79" t="s">
        <v>861</v>
      </c>
      <c r="E1132" s="41">
        <v>58.65</v>
      </c>
      <c r="F1132" s="41">
        <v>0.58650000000000002</v>
      </c>
      <c r="G1132" s="33">
        <f>+G670</f>
        <v>500</v>
      </c>
      <c r="H1132" s="33">
        <f t="shared" si="113"/>
        <v>293.25</v>
      </c>
    </row>
    <row r="1133" spans="1:8" x14ac:dyDescent="0.25">
      <c r="A1133" s="20" t="s">
        <v>1676</v>
      </c>
      <c r="B1133" s="21" t="s">
        <v>1025</v>
      </c>
      <c r="C1133" s="22" t="s">
        <v>171</v>
      </c>
      <c r="D1133" s="79" t="s">
        <v>861</v>
      </c>
      <c r="E1133" s="41">
        <v>3.55</v>
      </c>
      <c r="F1133" s="41">
        <v>3.5499999999999997E-2</v>
      </c>
      <c r="G1133" s="33">
        <f>+G734</f>
        <v>5500</v>
      </c>
      <c r="H1133" s="33">
        <f t="shared" si="113"/>
        <v>195.24999999999997</v>
      </c>
    </row>
    <row r="1134" spans="1:8" ht="33.75" x14ac:dyDescent="0.25">
      <c r="A1134" s="20" t="s">
        <v>1677</v>
      </c>
      <c r="B1134" s="21" t="s">
        <v>875</v>
      </c>
      <c r="C1134" s="22" t="s">
        <v>314</v>
      </c>
      <c r="D1134" s="79" t="s">
        <v>861</v>
      </c>
      <c r="E1134" s="41">
        <v>0.03</v>
      </c>
      <c r="F1134" s="41">
        <v>2.9999999999999997E-4</v>
      </c>
      <c r="G1134" s="33">
        <f>+G1120</f>
        <v>113021</v>
      </c>
      <c r="H1134" s="33">
        <f t="shared" si="113"/>
        <v>33.906299999999995</v>
      </c>
    </row>
    <row r="1135" spans="1:8" ht="45" x14ac:dyDescent="0.25">
      <c r="A1135" s="20" t="s">
        <v>1678</v>
      </c>
      <c r="B1135" s="21" t="s">
        <v>1027</v>
      </c>
      <c r="C1135" s="22" t="s">
        <v>1028</v>
      </c>
      <c r="D1135" s="79" t="s">
        <v>861</v>
      </c>
      <c r="E1135" s="41">
        <v>49.91</v>
      </c>
      <c r="F1135" s="41">
        <v>0.49909999999999999</v>
      </c>
      <c r="G1135" s="33">
        <f>+G735</f>
        <v>113021</v>
      </c>
      <c r="H1135" s="33">
        <f t="shared" si="113"/>
        <v>56408.7811</v>
      </c>
    </row>
    <row r="1136" spans="1:8" ht="33.75" x14ac:dyDescent="0.25">
      <c r="A1136" s="20" t="s">
        <v>1679</v>
      </c>
      <c r="B1136" s="21" t="s">
        <v>877</v>
      </c>
      <c r="C1136" s="22" t="s">
        <v>878</v>
      </c>
      <c r="D1136" s="79" t="s">
        <v>861</v>
      </c>
      <c r="E1136" s="41">
        <v>2.3199999999999998</v>
      </c>
      <c r="F1136" s="41">
        <v>2.3199999999999998E-2</v>
      </c>
      <c r="G1136" s="33">
        <f>+G673</f>
        <v>22300</v>
      </c>
      <c r="H1136" s="33">
        <f t="shared" si="113"/>
        <v>517.36</v>
      </c>
    </row>
    <row r="1137" spans="1:8" x14ac:dyDescent="0.25">
      <c r="A1137" s="20" t="s">
        <v>1680</v>
      </c>
      <c r="B1137" s="21" t="s">
        <v>880</v>
      </c>
      <c r="C1137" s="22" t="s">
        <v>881</v>
      </c>
      <c r="D1137" s="79" t="s">
        <v>861</v>
      </c>
      <c r="E1137" s="41">
        <v>1.58</v>
      </c>
      <c r="F1137" s="41">
        <v>1.5800000000000002E-2</v>
      </c>
      <c r="G1137" s="33">
        <f>+G674</f>
        <v>0</v>
      </c>
      <c r="H1137" s="33">
        <f t="shared" si="113"/>
        <v>0</v>
      </c>
    </row>
    <row r="1138" spans="1:8" ht="22.5" x14ac:dyDescent="0.25">
      <c r="A1138" s="20" t="s">
        <v>1681</v>
      </c>
      <c r="B1138" s="21" t="s">
        <v>883</v>
      </c>
      <c r="C1138" s="22" t="s">
        <v>190</v>
      </c>
      <c r="D1138" s="79" t="s">
        <v>861</v>
      </c>
      <c r="E1138" s="41">
        <v>0.05</v>
      </c>
      <c r="F1138" s="41">
        <v>5.0000000000000001E-4</v>
      </c>
      <c r="G1138" s="33">
        <f>+G1122</f>
        <v>35000</v>
      </c>
      <c r="H1138" s="33">
        <f t="shared" si="113"/>
        <v>17.5</v>
      </c>
    </row>
    <row r="1139" spans="1:8" ht="22.5" x14ac:dyDescent="0.25">
      <c r="A1139" s="23" t="s">
        <v>1682</v>
      </c>
      <c r="B1139" s="24" t="s">
        <v>1683</v>
      </c>
      <c r="C1139" s="25" t="s">
        <v>1684</v>
      </c>
      <c r="D1139" s="80" t="s">
        <v>54</v>
      </c>
      <c r="E1139" s="42">
        <v>102</v>
      </c>
      <c r="F1139" s="42">
        <v>1.02</v>
      </c>
      <c r="G1139" s="51">
        <f>+G157</f>
        <v>566043</v>
      </c>
      <c r="H1139" s="33">
        <f t="shared" si="113"/>
        <v>577363.86</v>
      </c>
    </row>
    <row r="1140" spans="1:8" x14ac:dyDescent="0.25">
      <c r="A1140" s="23" t="s">
        <v>1685</v>
      </c>
      <c r="B1140" s="24" t="s">
        <v>888</v>
      </c>
      <c r="C1140" s="25" t="s">
        <v>194</v>
      </c>
      <c r="D1140" s="80" t="s">
        <v>54</v>
      </c>
      <c r="E1140" s="42">
        <v>60</v>
      </c>
      <c r="F1140" s="42">
        <v>0.6</v>
      </c>
      <c r="G1140" s="33">
        <f>+G1101</f>
        <v>0</v>
      </c>
      <c r="H1140" s="33">
        <f t="shared" si="113"/>
        <v>0</v>
      </c>
    </row>
    <row r="1141" spans="1:8" x14ac:dyDescent="0.25">
      <c r="A1141" s="23" t="s">
        <v>1686</v>
      </c>
      <c r="B1141" s="24" t="s">
        <v>1031</v>
      </c>
      <c r="C1141" s="25" t="s">
        <v>1032</v>
      </c>
      <c r="D1141" s="80" t="s">
        <v>60</v>
      </c>
      <c r="E1141" s="42">
        <v>2.5000000000000001E-2</v>
      </c>
      <c r="F1141" s="42">
        <v>2.5000000000000001E-4</v>
      </c>
      <c r="G1141" s="33">
        <f>+G738</f>
        <v>12000000</v>
      </c>
      <c r="H1141" s="33">
        <f t="shared" si="113"/>
        <v>3000</v>
      </c>
    </row>
    <row r="1142" spans="1:8" x14ac:dyDescent="0.25">
      <c r="A1142" s="23" t="s">
        <v>1687</v>
      </c>
      <c r="B1142" s="24" t="s">
        <v>890</v>
      </c>
      <c r="C1142" s="25" t="s">
        <v>250</v>
      </c>
      <c r="D1142" s="80" t="s">
        <v>60</v>
      </c>
      <c r="E1142" s="42">
        <v>0.10199999999999999</v>
      </c>
      <c r="F1142" s="42">
        <v>1.0200000000000001E-3</v>
      </c>
      <c r="G1142" s="33">
        <f>+G974</f>
        <v>11500000</v>
      </c>
      <c r="H1142" s="33">
        <f t="shared" si="113"/>
        <v>11730</v>
      </c>
    </row>
    <row r="1143" spans="1:8" ht="22.5" x14ac:dyDescent="0.25">
      <c r="A1143" s="23" t="s">
        <v>1688</v>
      </c>
      <c r="B1143" s="24" t="s">
        <v>892</v>
      </c>
      <c r="C1143" s="25" t="s">
        <v>893</v>
      </c>
      <c r="D1143" s="80" t="s">
        <v>60</v>
      </c>
      <c r="E1143" s="42">
        <v>5.1499999999999997E-2</v>
      </c>
      <c r="F1143" s="42">
        <v>5.1500000000000005E-4</v>
      </c>
      <c r="G1143" s="33">
        <f>+G1078</f>
        <v>12500000</v>
      </c>
      <c r="H1143" s="33">
        <f t="shared" si="113"/>
        <v>6437.5000000000009</v>
      </c>
    </row>
    <row r="1144" spans="1:8" x14ac:dyDescent="0.25">
      <c r="A1144" s="23" t="s">
        <v>1689</v>
      </c>
      <c r="B1144" s="24" t="s">
        <v>895</v>
      </c>
      <c r="C1144" s="25" t="s">
        <v>896</v>
      </c>
      <c r="D1144" s="80" t="s">
        <v>367</v>
      </c>
      <c r="E1144" s="42">
        <v>64.900000000000006</v>
      </c>
      <c r="F1144" s="42">
        <v>0.64900000000000002</v>
      </c>
      <c r="G1144" s="33">
        <f>+G933</f>
        <v>2500</v>
      </c>
      <c r="H1144" s="33">
        <f t="shared" si="113"/>
        <v>1622.5</v>
      </c>
    </row>
    <row r="1145" spans="1:8" ht="22.5" x14ac:dyDescent="0.25">
      <c r="A1145" s="23" t="s">
        <v>1690</v>
      </c>
      <c r="B1145" s="24" t="s">
        <v>901</v>
      </c>
      <c r="C1145" s="25" t="s">
        <v>902</v>
      </c>
      <c r="D1145" s="80" t="s">
        <v>361</v>
      </c>
      <c r="E1145" s="42">
        <v>4.72</v>
      </c>
      <c r="F1145" s="42">
        <v>4.7199999999999999E-2</v>
      </c>
      <c r="G1145" s="33">
        <f>+G936</f>
        <v>3500000</v>
      </c>
      <c r="H1145" s="33">
        <f t="shared" si="113"/>
        <v>165200</v>
      </c>
    </row>
    <row r="1146" spans="1:8" ht="33.75" x14ac:dyDescent="0.25">
      <c r="A1146" s="23" t="s">
        <v>1691</v>
      </c>
      <c r="B1146" s="24" t="s">
        <v>904</v>
      </c>
      <c r="C1146" s="25" t="s">
        <v>905</v>
      </c>
      <c r="D1146" s="80" t="s">
        <v>54</v>
      </c>
      <c r="E1146" s="42">
        <v>0.97</v>
      </c>
      <c r="F1146" s="42">
        <v>9.7000000000000003E-3</v>
      </c>
      <c r="G1146" s="33">
        <f>+G977</f>
        <v>2350000</v>
      </c>
      <c r="H1146" s="33">
        <f t="shared" si="113"/>
        <v>22795</v>
      </c>
    </row>
    <row r="1147" spans="1:8" ht="33.75" x14ac:dyDescent="0.25">
      <c r="A1147" s="23" t="s">
        <v>1692</v>
      </c>
      <c r="B1147" s="24" t="s">
        <v>1693</v>
      </c>
      <c r="C1147" s="25" t="s">
        <v>1694</v>
      </c>
      <c r="D1147" s="80" t="s">
        <v>54</v>
      </c>
      <c r="E1147" s="42">
        <v>1.1399999999999999</v>
      </c>
      <c r="F1147" s="42">
        <v>1.14E-2</v>
      </c>
      <c r="G1147" s="35">
        <f>+G906</f>
        <v>2350000</v>
      </c>
      <c r="H1147" s="33">
        <f t="shared" si="113"/>
        <v>26790</v>
      </c>
    </row>
    <row r="1148" spans="1:8" ht="33.75" x14ac:dyDescent="0.25">
      <c r="A1148" s="23" t="s">
        <v>1695</v>
      </c>
      <c r="B1148" s="24" t="s">
        <v>907</v>
      </c>
      <c r="C1148" s="25" t="s">
        <v>908</v>
      </c>
      <c r="D1148" s="80" t="s">
        <v>54</v>
      </c>
      <c r="E1148" s="42">
        <v>1.37</v>
      </c>
      <c r="F1148" s="42">
        <v>1.37E-2</v>
      </c>
      <c r="G1148" s="33">
        <f>+G937</f>
        <v>2350000</v>
      </c>
      <c r="H1148" s="33">
        <f t="shared" si="113"/>
        <v>32195</v>
      </c>
    </row>
    <row r="1149" spans="1:8" ht="33.75" x14ac:dyDescent="0.25">
      <c r="A1149" s="23" t="s">
        <v>1696</v>
      </c>
      <c r="B1149" s="24" t="s">
        <v>910</v>
      </c>
      <c r="C1149" s="25" t="s">
        <v>911</v>
      </c>
      <c r="D1149" s="80" t="s">
        <v>54</v>
      </c>
      <c r="E1149" s="42">
        <v>0.22</v>
      </c>
      <c r="F1149" s="42">
        <v>2.2000000000000001E-3</v>
      </c>
      <c r="G1149" s="33">
        <f>+G1148</f>
        <v>2350000</v>
      </c>
      <c r="H1149" s="33">
        <f t="shared" si="113"/>
        <v>5170</v>
      </c>
    </row>
    <row r="1150" spans="1:8" ht="31.5" x14ac:dyDescent="0.25">
      <c r="A1150" s="15" t="s">
        <v>1697</v>
      </c>
      <c r="B1150" s="16" t="s">
        <v>1698</v>
      </c>
      <c r="C1150" s="16" t="s">
        <v>1699</v>
      </c>
      <c r="D1150" s="77" t="s">
        <v>60</v>
      </c>
      <c r="E1150" s="125">
        <v>3.3000000000000002E-2</v>
      </c>
      <c r="F1150" s="125"/>
      <c r="G1150" s="33"/>
      <c r="H1150" s="33"/>
    </row>
    <row r="1151" spans="1:8" x14ac:dyDescent="0.25">
      <c r="A1151" s="17" t="s">
        <v>1700</v>
      </c>
      <c r="B1151" s="18" t="s">
        <v>8</v>
      </c>
      <c r="C1151" s="19" t="s">
        <v>35</v>
      </c>
      <c r="D1151" s="78" t="s">
        <v>858</v>
      </c>
      <c r="E1151" s="40">
        <v>48.4</v>
      </c>
      <c r="F1151" s="40">
        <v>1.5972</v>
      </c>
      <c r="G1151" s="33">
        <f>+G1130</f>
        <v>26500</v>
      </c>
      <c r="H1151" s="33">
        <f t="shared" ref="H1151:H1153" si="114">G1151*F1151</f>
        <v>42325.799999999996</v>
      </c>
    </row>
    <row r="1152" spans="1:8" ht="22.5" x14ac:dyDescent="0.25">
      <c r="A1152" s="23" t="s">
        <v>1701</v>
      </c>
      <c r="B1152" s="24" t="s">
        <v>1702</v>
      </c>
      <c r="C1152" s="25" t="s">
        <v>1703</v>
      </c>
      <c r="D1152" s="80" t="s">
        <v>60</v>
      </c>
      <c r="E1152" s="42">
        <v>1</v>
      </c>
      <c r="F1152" s="42">
        <v>3.3000000000000002E-2</v>
      </c>
      <c r="G1152" s="35">
        <f>+G771</f>
        <v>8500000</v>
      </c>
      <c r="H1152" s="33">
        <f t="shared" si="114"/>
        <v>280500</v>
      </c>
    </row>
    <row r="1153" spans="1:8" x14ac:dyDescent="0.25">
      <c r="A1153" s="23" t="s">
        <v>1704</v>
      </c>
      <c r="B1153" s="24" t="s">
        <v>1705</v>
      </c>
      <c r="C1153" s="25" t="s">
        <v>401</v>
      </c>
      <c r="D1153" s="80" t="s">
        <v>60</v>
      </c>
      <c r="E1153" s="42">
        <v>3.0000000000000001E-3</v>
      </c>
      <c r="F1153" s="42">
        <v>9.8999999999999994E-5</v>
      </c>
      <c r="G1153" s="33">
        <f>+G539</f>
        <v>3500000</v>
      </c>
      <c r="H1153" s="33">
        <f t="shared" si="114"/>
        <v>346.5</v>
      </c>
    </row>
    <row r="1154" spans="1:8" ht="36" customHeight="1" x14ac:dyDescent="0.25">
      <c r="A1154" s="6"/>
      <c r="B1154" s="128" t="s">
        <v>1755</v>
      </c>
      <c r="C1154" s="128"/>
      <c r="D1154" s="128"/>
      <c r="E1154" s="36"/>
      <c r="F1154" s="36"/>
      <c r="G1154" s="33"/>
      <c r="H1154" s="33"/>
    </row>
    <row r="1155" spans="1:8" ht="36" x14ac:dyDescent="0.25">
      <c r="A1155" s="27" t="s">
        <v>8</v>
      </c>
      <c r="B1155" s="27" t="s">
        <v>1707</v>
      </c>
      <c r="C1155" s="28" t="s">
        <v>1708</v>
      </c>
      <c r="D1155" s="73" t="s">
        <v>1646</v>
      </c>
      <c r="E1155" s="130" t="s">
        <v>140</v>
      </c>
      <c r="F1155" s="130"/>
      <c r="G1155" s="33"/>
      <c r="H1155" s="33"/>
    </row>
    <row r="1156" spans="1:8" x14ac:dyDescent="0.25">
      <c r="A1156" s="29" t="s">
        <v>13</v>
      </c>
      <c r="B1156" s="29" t="s">
        <v>34</v>
      </c>
      <c r="C1156" s="30" t="s">
        <v>35</v>
      </c>
      <c r="D1156" s="43" t="s">
        <v>16</v>
      </c>
      <c r="E1156" s="43" t="s">
        <v>1709</v>
      </c>
      <c r="F1156" s="43" t="s">
        <v>1710</v>
      </c>
      <c r="G1156" s="33">
        <f>+G1151</f>
        <v>26500</v>
      </c>
      <c r="H1156" s="33">
        <f t="shared" ref="H1156:H1159" si="115">G1156*F1156</f>
        <v>7695.5999999999995</v>
      </c>
    </row>
    <row r="1157" spans="1:8" x14ac:dyDescent="0.25">
      <c r="A1157" s="29" t="s">
        <v>18</v>
      </c>
      <c r="B1157" s="29" t="s">
        <v>14</v>
      </c>
      <c r="C1157" s="30" t="s">
        <v>15</v>
      </c>
      <c r="D1157" s="43" t="s">
        <v>16</v>
      </c>
      <c r="E1157" s="43" t="s">
        <v>1711</v>
      </c>
      <c r="F1157" s="43" t="s">
        <v>1712</v>
      </c>
      <c r="G1157" s="33">
        <f>+G1131</f>
        <v>0</v>
      </c>
      <c r="H1157" s="33">
        <f t="shared" si="115"/>
        <v>0</v>
      </c>
    </row>
    <row r="1158" spans="1:8" x14ac:dyDescent="0.25">
      <c r="A1158" s="29" t="s">
        <v>759</v>
      </c>
      <c r="B1158" s="29" t="s">
        <v>1713</v>
      </c>
      <c r="C1158" s="30" t="s">
        <v>1714</v>
      </c>
      <c r="D1158" s="43" t="s">
        <v>21</v>
      </c>
      <c r="E1158" s="43" t="s">
        <v>1715</v>
      </c>
      <c r="F1158" s="43" t="s">
        <v>1716</v>
      </c>
      <c r="G1158" s="35">
        <f>+G20</f>
        <v>162930</v>
      </c>
      <c r="H1158" s="33">
        <f t="shared" si="115"/>
        <v>10948.895999999999</v>
      </c>
    </row>
    <row r="1159" spans="1:8" ht="29.25" x14ac:dyDescent="0.25">
      <c r="A1159" s="29" t="s">
        <v>761</v>
      </c>
      <c r="B1159" s="29" t="s">
        <v>702</v>
      </c>
      <c r="C1159" s="30" t="s">
        <v>703</v>
      </c>
      <c r="D1159" s="43" t="s">
        <v>21</v>
      </c>
      <c r="E1159" s="43" t="s">
        <v>1717</v>
      </c>
      <c r="F1159" s="43" t="s">
        <v>1718</v>
      </c>
      <c r="G1159" s="33">
        <f>+G1023</f>
        <v>162930</v>
      </c>
      <c r="H1159" s="33">
        <f t="shared" si="115"/>
        <v>27893.615999999998</v>
      </c>
    </row>
    <row r="1160" spans="1:8" ht="36" x14ac:dyDescent="0.25">
      <c r="A1160" s="27" t="s">
        <v>23</v>
      </c>
      <c r="B1160" s="27" t="s">
        <v>1719</v>
      </c>
      <c r="C1160" s="28" t="s">
        <v>1720</v>
      </c>
      <c r="D1160" s="73" t="s">
        <v>1646</v>
      </c>
      <c r="E1160" s="130" t="s">
        <v>1721</v>
      </c>
      <c r="F1160" s="130"/>
      <c r="G1160" s="33"/>
      <c r="H1160" s="33"/>
    </row>
    <row r="1161" spans="1:8" x14ac:dyDescent="0.25">
      <c r="A1161" s="29" t="s">
        <v>26</v>
      </c>
      <c r="B1161" s="29" t="s">
        <v>34</v>
      </c>
      <c r="C1161" s="30" t="s">
        <v>35</v>
      </c>
      <c r="D1161" s="43" t="s">
        <v>16</v>
      </c>
      <c r="E1161" s="43" t="s">
        <v>1722</v>
      </c>
      <c r="F1161" s="43" t="s">
        <v>1723</v>
      </c>
      <c r="G1161" s="33">
        <f>+G1156</f>
        <v>26500</v>
      </c>
      <c r="H1161" s="33">
        <f t="shared" ref="H1161:H1164" si="116">G1161*F1161</f>
        <v>11951.5</v>
      </c>
    </row>
    <row r="1162" spans="1:8" x14ac:dyDescent="0.25">
      <c r="A1162" s="29" t="s">
        <v>29</v>
      </c>
      <c r="B1162" s="29" t="s">
        <v>14</v>
      </c>
      <c r="C1162" s="30" t="s">
        <v>15</v>
      </c>
      <c r="D1162" s="43" t="s">
        <v>16</v>
      </c>
      <c r="E1162" s="43" t="s">
        <v>1724</v>
      </c>
      <c r="F1162" s="43" t="s">
        <v>1725</v>
      </c>
      <c r="G1162" s="33">
        <f>+G1157</f>
        <v>0</v>
      </c>
      <c r="H1162" s="33">
        <f t="shared" si="116"/>
        <v>0</v>
      </c>
    </row>
    <row r="1163" spans="1:8" x14ac:dyDescent="0.25">
      <c r="A1163" s="29" t="s">
        <v>789</v>
      </c>
      <c r="B1163" s="29" t="s">
        <v>1713</v>
      </c>
      <c r="C1163" s="30" t="s">
        <v>1714</v>
      </c>
      <c r="D1163" s="43" t="s">
        <v>21</v>
      </c>
      <c r="E1163" s="43" t="s">
        <v>1726</v>
      </c>
      <c r="F1163" s="43" t="s">
        <v>1727</v>
      </c>
      <c r="G1163" s="33">
        <f>+G1158</f>
        <v>162930</v>
      </c>
      <c r="H1163" s="33">
        <f t="shared" si="116"/>
        <v>16863.254999999997</v>
      </c>
    </row>
    <row r="1164" spans="1:8" ht="29.25" x14ac:dyDescent="0.25">
      <c r="A1164" s="29" t="s">
        <v>790</v>
      </c>
      <c r="B1164" s="29" t="s">
        <v>702</v>
      </c>
      <c r="C1164" s="30" t="s">
        <v>703</v>
      </c>
      <c r="D1164" s="43" t="s">
        <v>21</v>
      </c>
      <c r="E1164" s="43" t="s">
        <v>362</v>
      </c>
      <c r="F1164" s="43" t="s">
        <v>1728</v>
      </c>
      <c r="G1164" s="33">
        <f>+G1159</f>
        <v>162930</v>
      </c>
      <c r="H1164" s="33">
        <f t="shared" si="116"/>
        <v>43339.380000000005</v>
      </c>
    </row>
    <row r="1165" spans="1:8" ht="36" x14ac:dyDescent="0.25">
      <c r="A1165" s="27" t="s">
        <v>30</v>
      </c>
      <c r="B1165" s="27" t="s">
        <v>1729</v>
      </c>
      <c r="C1165" s="28" t="s">
        <v>1730</v>
      </c>
      <c r="D1165" s="73" t="s">
        <v>1646</v>
      </c>
      <c r="E1165" s="130" t="s">
        <v>559</v>
      </c>
      <c r="F1165" s="130"/>
      <c r="G1165" s="33"/>
      <c r="H1165" s="33"/>
    </row>
    <row r="1166" spans="1:8" x14ac:dyDescent="0.25">
      <c r="A1166" s="29" t="s">
        <v>33</v>
      </c>
      <c r="B1166" s="29" t="s">
        <v>34</v>
      </c>
      <c r="C1166" s="30" t="s">
        <v>35</v>
      </c>
      <c r="D1166" s="43" t="s">
        <v>16</v>
      </c>
      <c r="E1166" s="43" t="s">
        <v>1731</v>
      </c>
      <c r="F1166" s="43" t="s">
        <v>1732</v>
      </c>
      <c r="G1166" s="33">
        <f>+G1161</f>
        <v>26500</v>
      </c>
      <c r="H1166" s="33">
        <f t="shared" ref="H1166:H1169" si="117">G1166*F1166</f>
        <v>128726.39999999999</v>
      </c>
    </row>
    <row r="1167" spans="1:8" x14ac:dyDescent="0.25">
      <c r="A1167" s="29" t="s">
        <v>38</v>
      </c>
      <c r="B1167" s="29" t="s">
        <v>14</v>
      </c>
      <c r="C1167" s="30" t="s">
        <v>15</v>
      </c>
      <c r="D1167" s="43" t="s">
        <v>16</v>
      </c>
      <c r="E1167" s="43" t="s">
        <v>1733</v>
      </c>
      <c r="F1167" s="43" t="s">
        <v>1734</v>
      </c>
      <c r="G1167" s="33">
        <f>+G1162</f>
        <v>0</v>
      </c>
      <c r="H1167" s="33">
        <f t="shared" si="117"/>
        <v>0</v>
      </c>
    </row>
    <row r="1168" spans="1:8" x14ac:dyDescent="0.25">
      <c r="A1168" s="29" t="s">
        <v>41</v>
      </c>
      <c r="B1168" s="29" t="s">
        <v>1713</v>
      </c>
      <c r="C1168" s="30" t="s">
        <v>1714</v>
      </c>
      <c r="D1168" s="43" t="s">
        <v>21</v>
      </c>
      <c r="E1168" s="43" t="s">
        <v>1735</v>
      </c>
      <c r="F1168" s="43" t="s">
        <v>1736</v>
      </c>
      <c r="G1168" s="33">
        <f>+G1163</f>
        <v>162930</v>
      </c>
      <c r="H1168" s="33">
        <f t="shared" si="117"/>
        <v>179353.34400000001</v>
      </c>
    </row>
    <row r="1169" spans="1:9" ht="29.25" x14ac:dyDescent="0.25">
      <c r="A1169" s="29" t="s">
        <v>46</v>
      </c>
      <c r="B1169" s="29" t="s">
        <v>702</v>
      </c>
      <c r="C1169" s="30" t="s">
        <v>703</v>
      </c>
      <c r="D1169" s="43" t="s">
        <v>21</v>
      </c>
      <c r="E1169" s="43" t="s">
        <v>1737</v>
      </c>
      <c r="F1169" s="43" t="s">
        <v>1738</v>
      </c>
      <c r="G1169" s="33">
        <f>+G1164</f>
        <v>162930</v>
      </c>
      <c r="H1169" s="33">
        <f t="shared" si="117"/>
        <v>453075.74400000001</v>
      </c>
    </row>
    <row r="1170" spans="1:9" ht="27" x14ac:dyDescent="0.25">
      <c r="A1170" s="27" t="s">
        <v>57</v>
      </c>
      <c r="B1170" s="27" t="s">
        <v>1739</v>
      </c>
      <c r="C1170" s="28" t="s">
        <v>1740</v>
      </c>
      <c r="D1170" s="73" t="s">
        <v>1741</v>
      </c>
      <c r="E1170" s="130" t="s">
        <v>140</v>
      </c>
      <c r="F1170" s="130"/>
      <c r="G1170" s="33"/>
      <c r="H1170" s="33"/>
    </row>
    <row r="1171" spans="1:9" x14ac:dyDescent="0.25">
      <c r="A1171" s="29" t="s">
        <v>62</v>
      </c>
      <c r="B1171" s="29" t="s">
        <v>14</v>
      </c>
      <c r="C1171" s="30" t="s">
        <v>15</v>
      </c>
      <c r="D1171" s="43" t="s">
        <v>16</v>
      </c>
      <c r="E1171" s="43" t="s">
        <v>1742</v>
      </c>
      <c r="F1171" s="43" t="s">
        <v>1743</v>
      </c>
      <c r="G1171" s="33">
        <f>+G1167</f>
        <v>0</v>
      </c>
      <c r="H1171" s="33">
        <f t="shared" ref="H1171:H1172" si="118">G1171*F1171</f>
        <v>0</v>
      </c>
    </row>
    <row r="1172" spans="1:9" x14ac:dyDescent="0.25">
      <c r="A1172" s="29" t="s">
        <v>65</v>
      </c>
      <c r="B1172" s="29" t="s">
        <v>1713</v>
      </c>
      <c r="C1172" s="30" t="s">
        <v>1714</v>
      </c>
      <c r="D1172" s="43" t="s">
        <v>21</v>
      </c>
      <c r="E1172" s="43" t="s">
        <v>1742</v>
      </c>
      <c r="F1172" s="43" t="s">
        <v>1743</v>
      </c>
      <c r="G1172" s="33">
        <f>+G1168</f>
        <v>162930</v>
      </c>
      <c r="H1172" s="33">
        <f t="shared" si="118"/>
        <v>4953.0720000000001</v>
      </c>
    </row>
    <row r="1173" spans="1:9" ht="27" x14ac:dyDescent="0.25">
      <c r="A1173" s="27" t="s">
        <v>68</v>
      </c>
      <c r="B1173" s="27" t="s">
        <v>1744</v>
      </c>
      <c r="C1173" s="28" t="s">
        <v>1745</v>
      </c>
      <c r="D1173" s="73" t="s">
        <v>1741</v>
      </c>
      <c r="E1173" s="130" t="s">
        <v>1746</v>
      </c>
      <c r="F1173" s="130"/>
      <c r="G1173" s="33"/>
      <c r="H1173" s="33"/>
    </row>
    <row r="1174" spans="1:9" x14ac:dyDescent="0.25">
      <c r="A1174" s="29" t="s">
        <v>71</v>
      </c>
      <c r="B1174" s="29" t="s">
        <v>14</v>
      </c>
      <c r="C1174" s="30" t="s">
        <v>15</v>
      </c>
      <c r="D1174" s="43" t="s">
        <v>16</v>
      </c>
      <c r="E1174" s="43" t="s">
        <v>1747</v>
      </c>
      <c r="F1174" s="43" t="s">
        <v>1748</v>
      </c>
      <c r="G1174" s="33">
        <f>+G1171</f>
        <v>0</v>
      </c>
      <c r="H1174" s="33">
        <f t="shared" ref="H1174:H1175" si="119">G1174*F1174</f>
        <v>0</v>
      </c>
    </row>
    <row r="1175" spans="1:9" x14ac:dyDescent="0.25">
      <c r="A1175" s="29" t="s">
        <v>74</v>
      </c>
      <c r="B1175" s="29" t="s">
        <v>1713</v>
      </c>
      <c r="C1175" s="30" t="s">
        <v>1714</v>
      </c>
      <c r="D1175" s="43" t="s">
        <v>21</v>
      </c>
      <c r="E1175" s="43" t="s">
        <v>1747</v>
      </c>
      <c r="F1175" s="43" t="s">
        <v>1748</v>
      </c>
      <c r="G1175" s="33">
        <f>+G1172</f>
        <v>162930</v>
      </c>
      <c r="H1175" s="33">
        <f t="shared" si="119"/>
        <v>92837.513999999996</v>
      </c>
    </row>
    <row r="1176" spans="1:9" ht="18" x14ac:dyDescent="0.25">
      <c r="A1176" s="27" t="s">
        <v>80</v>
      </c>
      <c r="B1176" s="27" t="s">
        <v>1749</v>
      </c>
      <c r="C1176" s="28" t="s">
        <v>1750</v>
      </c>
      <c r="D1176" s="73" t="s">
        <v>1751</v>
      </c>
      <c r="E1176" s="130" t="s">
        <v>1752</v>
      </c>
      <c r="F1176" s="130"/>
      <c r="G1176" s="33"/>
      <c r="H1176" s="33"/>
    </row>
    <row r="1177" spans="1:9" x14ac:dyDescent="0.25">
      <c r="A1177" s="29" t="s">
        <v>84</v>
      </c>
      <c r="B1177" s="29" t="s">
        <v>14</v>
      </c>
      <c r="C1177" s="30" t="s">
        <v>15</v>
      </c>
      <c r="D1177" s="43" t="s">
        <v>16</v>
      </c>
      <c r="E1177" s="43" t="s">
        <v>1753</v>
      </c>
      <c r="F1177" s="43" t="s">
        <v>1754</v>
      </c>
      <c r="G1177" s="33">
        <f>+G1174</f>
        <v>0</v>
      </c>
      <c r="H1177" s="33">
        <f t="shared" ref="H1177:H1178" si="120">G1177*F1177</f>
        <v>0</v>
      </c>
    </row>
    <row r="1178" spans="1:9" ht="29.25" x14ac:dyDescent="0.25">
      <c r="A1178" s="29" t="s">
        <v>87</v>
      </c>
      <c r="B1178" s="29" t="s">
        <v>42</v>
      </c>
      <c r="C1178" s="30" t="s">
        <v>43</v>
      </c>
      <c r="D1178" s="43" t="s">
        <v>21</v>
      </c>
      <c r="E1178" s="43" t="s">
        <v>1753</v>
      </c>
      <c r="F1178" s="43" t="s">
        <v>1754</v>
      </c>
      <c r="G1178" s="33">
        <f>+G1017</f>
        <v>162930</v>
      </c>
      <c r="H1178" s="33">
        <f t="shared" si="120"/>
        <v>155647.02900000001</v>
      </c>
      <c r="I1178" s="31">
        <v>12783699627</v>
      </c>
    </row>
    <row r="1179" spans="1:9" ht="18.75" x14ac:dyDescent="0.25">
      <c r="A1179" s="6"/>
      <c r="B1179" s="6"/>
      <c r="C1179" s="54" t="s">
        <v>2257</v>
      </c>
      <c r="D1179" s="36"/>
      <c r="E1179" s="36"/>
      <c r="F1179" s="36"/>
      <c r="G1179" s="33"/>
      <c r="H1179" s="53">
        <f>SUM(H20:H1178)</f>
        <v>8848009754.399416</v>
      </c>
    </row>
    <row r="1180" spans="1:9" ht="47.25" x14ac:dyDescent="0.25">
      <c r="C1180" s="66" t="s">
        <v>2245</v>
      </c>
      <c r="H1180" s="31">
        <v>5057380938.1896343</v>
      </c>
    </row>
    <row r="1181" spans="1:9" ht="15.75" x14ac:dyDescent="0.25">
      <c r="C1181" s="66" t="s">
        <v>2246</v>
      </c>
      <c r="D1181" s="43" t="s">
        <v>16</v>
      </c>
      <c r="H1181" s="31">
        <v>0</v>
      </c>
    </row>
    <row r="1182" spans="1:9" ht="15.75" x14ac:dyDescent="0.25">
      <c r="C1182" s="66" t="s">
        <v>2247</v>
      </c>
      <c r="H1182" s="31">
        <v>2862918445.1939311</v>
      </c>
    </row>
    <row r="1183" spans="1:9" ht="15.75" x14ac:dyDescent="0.25">
      <c r="C1183" s="66" t="s">
        <v>2248</v>
      </c>
      <c r="D1183" s="44" t="s">
        <v>2256</v>
      </c>
      <c r="H1183" s="31">
        <v>927710371.01584995</v>
      </c>
    </row>
    <row r="1184" spans="1:9" ht="15.75" x14ac:dyDescent="0.25">
      <c r="C1184" s="67" t="s">
        <v>2249</v>
      </c>
      <c r="H1184" s="31">
        <v>8848009754.399416</v>
      </c>
    </row>
    <row r="1185" spans="3:8" ht="15.75" x14ac:dyDescent="0.25">
      <c r="C1185" s="66" t="s">
        <v>2250</v>
      </c>
      <c r="H1185" s="31">
        <v>1960718961.5749104</v>
      </c>
    </row>
    <row r="1186" spans="3:8" ht="15.75" x14ac:dyDescent="0.25">
      <c r="C1186" s="67" t="s">
        <v>2251</v>
      </c>
      <c r="H1186" s="31">
        <v>10808728715.974327</v>
      </c>
    </row>
    <row r="1187" spans="3:8" ht="15.75" x14ac:dyDescent="0.25">
      <c r="C1187" s="66" t="s">
        <v>2252</v>
      </c>
      <c r="H1187" s="31">
        <v>34587931.391117848</v>
      </c>
    </row>
    <row r="1188" spans="3:8" ht="15.75" x14ac:dyDescent="0.25">
      <c r="C1188" s="67" t="s">
        <v>2251</v>
      </c>
      <c r="H1188" s="31">
        <v>10843316647.365444</v>
      </c>
    </row>
    <row r="1189" spans="3:8" ht="15.75" x14ac:dyDescent="0.25">
      <c r="C1189" s="66" t="s">
        <v>2255</v>
      </c>
      <c r="H1189" s="31">
        <v>1301197997.6838531</v>
      </c>
    </row>
    <row r="1190" spans="3:8" ht="31.5" x14ac:dyDescent="0.25">
      <c r="C1190" s="67" t="s">
        <v>2253</v>
      </c>
      <c r="H1190" s="31">
        <v>12144514645.049297</v>
      </c>
    </row>
  </sheetData>
  <autoFilter ref="A18:H1179">
    <filterColumn colId="4" showButton="0"/>
  </autoFilter>
  <mergeCells count="186">
    <mergeCell ref="E826:F826"/>
    <mergeCell ref="E838:F838"/>
    <mergeCell ref="E862:F862"/>
    <mergeCell ref="E876:F876"/>
    <mergeCell ref="E881:F881"/>
    <mergeCell ref="D889:F889"/>
    <mergeCell ref="E777:F777"/>
    <mergeCell ref="E789:F789"/>
    <mergeCell ref="E790:F790"/>
    <mergeCell ref="E807:F807"/>
    <mergeCell ref="E808:F808"/>
    <mergeCell ref="E825:F825"/>
    <mergeCell ref="E913:F913"/>
    <mergeCell ref="E914:F914"/>
    <mergeCell ref="D915:F915"/>
    <mergeCell ref="E916:F916"/>
    <mergeCell ref="E939:F939"/>
    <mergeCell ref="E940:F940"/>
    <mergeCell ref="E890:F890"/>
    <mergeCell ref="E908:F908"/>
    <mergeCell ref="E909:F909"/>
    <mergeCell ref="E910:F910"/>
    <mergeCell ref="E911:F911"/>
    <mergeCell ref="E912:F912"/>
    <mergeCell ref="E1165:F1165"/>
    <mergeCell ref="E1170:F1170"/>
    <mergeCell ref="E1173:F1173"/>
    <mergeCell ref="E1176:F1176"/>
    <mergeCell ref="E946:F946"/>
    <mergeCell ref="E947:F947"/>
    <mergeCell ref="E964:F964"/>
    <mergeCell ref="E981:F981"/>
    <mergeCell ref="E987:F987"/>
    <mergeCell ref="E999:F999"/>
    <mergeCell ref="E1155:F1155"/>
    <mergeCell ref="E1160:F1160"/>
    <mergeCell ref="E1015:F1015"/>
    <mergeCell ref="B1154:D1154"/>
    <mergeCell ref="B17:D17"/>
    <mergeCell ref="E1117:F1117"/>
    <mergeCell ref="E1129:F1129"/>
    <mergeCell ref="E1150:F1150"/>
    <mergeCell ref="B601:D601"/>
    <mergeCell ref="E1065:F1065"/>
    <mergeCell ref="E1080:F1080"/>
    <mergeCell ref="E1081:F1081"/>
    <mergeCell ref="E1092:F1092"/>
    <mergeCell ref="E1103:F1103"/>
    <mergeCell ref="E1116:F1116"/>
    <mergeCell ref="E1020:F1020"/>
    <mergeCell ref="E1024:F1024"/>
    <mergeCell ref="E1027:F1027"/>
    <mergeCell ref="E1041:F1041"/>
    <mergeCell ref="E1046:F1046"/>
    <mergeCell ref="E1060:F1060"/>
    <mergeCell ref="E1004:F1004"/>
    <mergeCell ref="E1009:F1009"/>
    <mergeCell ref="E1012:F1012"/>
    <mergeCell ref="E730:F730"/>
    <mergeCell ref="E731:F731"/>
    <mergeCell ref="E743:F743"/>
    <mergeCell ref="E744:F744"/>
    <mergeCell ref="E761:F761"/>
    <mergeCell ref="E776:F776"/>
    <mergeCell ref="E712:F712"/>
    <mergeCell ref="E713:F713"/>
    <mergeCell ref="D714:F714"/>
    <mergeCell ref="E715:F715"/>
    <mergeCell ref="E718:F718"/>
    <mergeCell ref="E719:F719"/>
    <mergeCell ref="E667:F667"/>
    <mergeCell ref="E686:F686"/>
    <mergeCell ref="E687:F687"/>
    <mergeCell ref="E688:F688"/>
    <mergeCell ref="E701:F701"/>
    <mergeCell ref="E702:F702"/>
    <mergeCell ref="E645:F645"/>
    <mergeCell ref="E646:F646"/>
    <mergeCell ref="E654:F654"/>
    <mergeCell ref="E664:F664"/>
    <mergeCell ref="E665:F665"/>
    <mergeCell ref="D666:F666"/>
    <mergeCell ref="E605:F605"/>
    <mergeCell ref="E608:F608"/>
    <mergeCell ref="E611:F611"/>
    <mergeCell ref="E630:F630"/>
    <mergeCell ref="E631:F631"/>
    <mergeCell ref="E632:F632"/>
    <mergeCell ref="E569:F569"/>
    <mergeCell ref="E578:F578"/>
    <mergeCell ref="E587:F587"/>
    <mergeCell ref="E595:F595"/>
    <mergeCell ref="B529:D529"/>
    <mergeCell ref="E602:F602"/>
    <mergeCell ref="E546:F546"/>
    <mergeCell ref="E554:F554"/>
    <mergeCell ref="E560:F560"/>
    <mergeCell ref="E561:F561"/>
    <mergeCell ref="E562:F562"/>
    <mergeCell ref="E565:F565"/>
    <mergeCell ref="E250:F250"/>
    <mergeCell ref="E254:F254"/>
    <mergeCell ref="E262:F262"/>
    <mergeCell ref="E268:F268"/>
    <mergeCell ref="E530:F530"/>
    <mergeCell ref="E272:F272"/>
    <mergeCell ref="E290:F290"/>
    <mergeCell ref="E309:F309"/>
    <mergeCell ref="E330:F330"/>
    <mergeCell ref="E349:F349"/>
    <mergeCell ref="E370:F370"/>
    <mergeCell ref="E389:F389"/>
    <mergeCell ref="E410:F410"/>
    <mergeCell ref="E428:F428"/>
    <mergeCell ref="E438:F438"/>
    <mergeCell ref="E443:F443"/>
    <mergeCell ref="E527:F527"/>
    <mergeCell ref="E528:F528"/>
    <mergeCell ref="E447:F447"/>
    <mergeCell ref="E456:F456"/>
    <mergeCell ref="E465:F465"/>
    <mergeCell ref="E475:F475"/>
    <mergeCell ref="E484:F484"/>
    <mergeCell ref="E492:F492"/>
    <mergeCell ref="E221:F221"/>
    <mergeCell ref="E225:F225"/>
    <mergeCell ref="E236:F236"/>
    <mergeCell ref="E244:F244"/>
    <mergeCell ref="E500:F500"/>
    <mergeCell ref="E511:F511"/>
    <mergeCell ref="E526:F526"/>
    <mergeCell ref="E216:F216"/>
    <mergeCell ref="E218:F218"/>
    <mergeCell ref="B189:D189"/>
    <mergeCell ref="E96:F96"/>
    <mergeCell ref="E99:F99"/>
    <mergeCell ref="E103:F103"/>
    <mergeCell ref="E106:F106"/>
    <mergeCell ref="E109:F109"/>
    <mergeCell ref="E127:F127"/>
    <mergeCell ref="E180:F180"/>
    <mergeCell ref="E194:F194"/>
    <mergeCell ref="E197:F197"/>
    <mergeCell ref="E200:F200"/>
    <mergeCell ref="E203:F203"/>
    <mergeCell ref="E209:F209"/>
    <mergeCell ref="E213:F213"/>
    <mergeCell ref="E191:F191"/>
    <mergeCell ref="E142:F142"/>
    <mergeCell ref="E143:F143"/>
    <mergeCell ref="E144:F144"/>
    <mergeCell ref="E145:F145"/>
    <mergeCell ref="E152:F152"/>
    <mergeCell ref="E153:F153"/>
    <mergeCell ref="E72:F72"/>
    <mergeCell ref="E73:F73"/>
    <mergeCell ref="E79:F79"/>
    <mergeCell ref="E80:F80"/>
    <mergeCell ref="E82:F82"/>
    <mergeCell ref="E90:F90"/>
    <mergeCell ref="E159:F159"/>
    <mergeCell ref="E167:F167"/>
    <mergeCell ref="E171:F171"/>
    <mergeCell ref="E46:F46"/>
    <mergeCell ref="E48:F48"/>
    <mergeCell ref="E52:F52"/>
    <mergeCell ref="E58:F58"/>
    <mergeCell ref="E63:F63"/>
    <mergeCell ref="E66:F66"/>
    <mergeCell ref="E21:F21"/>
    <mergeCell ref="E24:F24"/>
    <mergeCell ref="E30:F30"/>
    <mergeCell ref="E33:F33"/>
    <mergeCell ref="E37:F37"/>
    <mergeCell ref="E43:F43"/>
    <mergeCell ref="E1:F1"/>
    <mergeCell ref="E2:F2"/>
    <mergeCell ref="A14:A15"/>
    <mergeCell ref="B14:B15"/>
    <mergeCell ref="C14:C15"/>
    <mergeCell ref="D14:D15"/>
    <mergeCell ref="E14:F14"/>
    <mergeCell ref="E18:F18"/>
    <mergeCell ref="A12:F12"/>
    <mergeCell ref="A13:F13"/>
    <mergeCell ref="E3:F3"/>
  </mergeCells>
  <pageMargins left="0.31496062992125984" right="0.15748031496062992" top="0.19685039370078741" bottom="0.31496062992125984" header="0.31496062992125984" footer="0.31496062992125984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179"/>
  <sheetViews>
    <sheetView tabSelected="1" view="pageBreakPreview" zoomScaleNormal="100" zoomScaleSheetLayoutView="100" workbookViewId="0">
      <selection activeCell="K3" sqref="K3"/>
    </sheetView>
  </sheetViews>
  <sheetFormatPr defaultRowHeight="15" x14ac:dyDescent="0.25"/>
  <cols>
    <col min="1" max="1" width="5" customWidth="1"/>
    <col min="3" max="3" width="44.42578125" customWidth="1"/>
    <col min="4" max="4" width="9.140625" style="87"/>
    <col min="5" max="5" width="7.85546875" style="87" bestFit="1" customWidth="1"/>
    <col min="6" max="6" width="10.5703125" style="87" bestFit="1" customWidth="1"/>
    <col min="7" max="7" width="15" bestFit="1" customWidth="1"/>
    <col min="8" max="8" width="12" bestFit="1" customWidth="1"/>
  </cols>
  <sheetData>
    <row r="1" spans="1:7" ht="31.5" customHeight="1" x14ac:dyDescent="0.25">
      <c r="A1" s="104"/>
      <c r="B1" s="104"/>
      <c r="C1" s="105"/>
      <c r="D1" s="104"/>
      <c r="E1" s="106"/>
      <c r="F1" s="107"/>
      <c r="G1" s="52"/>
    </row>
    <row r="2" spans="1:7" ht="37.5" x14ac:dyDescent="0.25">
      <c r="A2" s="108"/>
      <c r="B2" s="108"/>
      <c r="C2" s="108" t="s">
        <v>2263</v>
      </c>
      <c r="D2" s="108"/>
      <c r="E2" s="109"/>
      <c r="F2" s="107"/>
    </row>
    <row r="3" spans="1:7" ht="15" customHeight="1" x14ac:dyDescent="0.25">
      <c r="A3" s="104"/>
      <c r="B3" s="104"/>
      <c r="C3" s="104"/>
      <c r="D3" s="104"/>
      <c r="E3" s="106"/>
      <c r="F3" s="107"/>
    </row>
    <row r="4" spans="1:7" ht="40.5" x14ac:dyDescent="0.25">
      <c r="A4" s="110"/>
      <c r="B4" s="110"/>
      <c r="C4" s="110" t="s">
        <v>2264</v>
      </c>
      <c r="D4" s="110"/>
      <c r="E4" s="111"/>
      <c r="F4" s="107"/>
    </row>
    <row r="5" spans="1:7" x14ac:dyDescent="0.25">
      <c r="A5" s="104"/>
      <c r="B5" s="104"/>
      <c r="C5" s="104"/>
      <c r="D5" s="104"/>
      <c r="E5" s="106"/>
      <c r="F5" s="107"/>
    </row>
    <row r="6" spans="1:7" ht="27.75" customHeight="1" x14ac:dyDescent="0.25">
      <c r="A6" s="88"/>
      <c r="B6" s="129" t="s">
        <v>1756</v>
      </c>
      <c r="C6" s="129"/>
      <c r="D6" s="129"/>
      <c r="E6" s="88"/>
      <c r="F6" s="88"/>
    </row>
    <row r="7" spans="1:7" ht="56.25" x14ac:dyDescent="0.25">
      <c r="A7" s="2" t="s">
        <v>8</v>
      </c>
      <c r="B7" s="2" t="s">
        <v>9</v>
      </c>
      <c r="C7" s="3" t="s">
        <v>10</v>
      </c>
      <c r="D7" s="86" t="s">
        <v>11</v>
      </c>
      <c r="E7" s="133" t="s">
        <v>12</v>
      </c>
      <c r="F7" s="134"/>
    </row>
    <row r="8" spans="1:7" x14ac:dyDescent="0.25">
      <c r="A8" s="4" t="s">
        <v>13</v>
      </c>
      <c r="B8" s="4" t="s">
        <v>14</v>
      </c>
      <c r="C8" s="5" t="s">
        <v>15</v>
      </c>
      <c r="D8" s="34" t="s">
        <v>16</v>
      </c>
      <c r="E8" s="34" t="s">
        <v>17</v>
      </c>
      <c r="F8" s="34">
        <f>E8*E7</f>
        <v>16.790399999999998</v>
      </c>
    </row>
    <row r="9" spans="1:7" ht="33.75" x14ac:dyDescent="0.25">
      <c r="A9" s="4" t="s">
        <v>18</v>
      </c>
      <c r="B9" s="4" t="s">
        <v>19</v>
      </c>
      <c r="C9" s="5" t="s">
        <v>20</v>
      </c>
      <c r="D9" s="34" t="s">
        <v>21</v>
      </c>
      <c r="E9" s="34" t="s">
        <v>17</v>
      </c>
      <c r="F9" s="34">
        <f>E9*E7</f>
        <v>16.790399999999998</v>
      </c>
    </row>
    <row r="10" spans="1:7" ht="33.75" x14ac:dyDescent="0.25">
      <c r="A10" s="2" t="s">
        <v>23</v>
      </c>
      <c r="B10" s="2" t="s">
        <v>24</v>
      </c>
      <c r="C10" s="3" t="s">
        <v>25</v>
      </c>
      <c r="D10" s="86" t="s">
        <v>11</v>
      </c>
      <c r="E10" s="116" t="s">
        <v>12</v>
      </c>
      <c r="F10" s="116"/>
    </row>
    <row r="11" spans="1:7" x14ac:dyDescent="0.25">
      <c r="A11" s="4" t="s">
        <v>26</v>
      </c>
      <c r="B11" s="4" t="s">
        <v>14</v>
      </c>
      <c r="C11" s="5" t="s">
        <v>15</v>
      </c>
      <c r="D11" s="34" t="s">
        <v>16</v>
      </c>
      <c r="E11" s="34" t="s">
        <v>27</v>
      </c>
      <c r="F11" s="34">
        <f>E11*E10</f>
        <v>66.528000000000006</v>
      </c>
    </row>
    <row r="12" spans="1:7" ht="33.75" x14ac:dyDescent="0.25">
      <c r="A12" s="4" t="s">
        <v>29</v>
      </c>
      <c r="B12" s="4" t="s">
        <v>19</v>
      </c>
      <c r="C12" s="5" t="s">
        <v>20</v>
      </c>
      <c r="D12" s="34" t="s">
        <v>21</v>
      </c>
      <c r="E12" s="34" t="s">
        <v>27</v>
      </c>
      <c r="F12" s="34">
        <f>E12*E10</f>
        <v>66.528000000000006</v>
      </c>
    </row>
    <row r="13" spans="1:7" ht="56.25" x14ac:dyDescent="0.25">
      <c r="A13" s="2" t="s">
        <v>30</v>
      </c>
      <c r="B13" s="2" t="s">
        <v>31</v>
      </c>
      <c r="C13" s="3" t="s">
        <v>32</v>
      </c>
      <c r="D13" s="86" t="s">
        <v>11</v>
      </c>
      <c r="E13" s="116" t="s">
        <v>12</v>
      </c>
      <c r="F13" s="116"/>
    </row>
    <row r="14" spans="1:7" x14ac:dyDescent="0.25">
      <c r="A14" s="4" t="s">
        <v>33</v>
      </c>
      <c r="B14" s="4" t="s">
        <v>34</v>
      </c>
      <c r="C14" s="5" t="s">
        <v>35</v>
      </c>
      <c r="D14" s="34" t="s">
        <v>16</v>
      </c>
      <c r="E14" s="34" t="s">
        <v>36</v>
      </c>
      <c r="F14" s="34">
        <f>E14*E13</f>
        <v>14.155199999999999</v>
      </c>
    </row>
    <row r="15" spans="1:7" x14ac:dyDescent="0.25">
      <c r="A15" s="4" t="s">
        <v>38</v>
      </c>
      <c r="B15" s="4" t="s">
        <v>14</v>
      </c>
      <c r="C15" s="5" t="s">
        <v>15</v>
      </c>
      <c r="D15" s="34" t="s">
        <v>16</v>
      </c>
      <c r="E15" s="34" t="s">
        <v>39</v>
      </c>
      <c r="F15" s="34">
        <f>E15*E13</f>
        <v>40.0032</v>
      </c>
    </row>
    <row r="16" spans="1:7" ht="33.75" x14ac:dyDescent="0.25">
      <c r="A16" s="4" t="s">
        <v>41</v>
      </c>
      <c r="B16" s="4" t="s">
        <v>42</v>
      </c>
      <c r="C16" s="5" t="s">
        <v>43</v>
      </c>
      <c r="D16" s="34" t="s">
        <v>21</v>
      </c>
      <c r="E16" s="34" t="s">
        <v>44</v>
      </c>
      <c r="F16" s="34">
        <f>E16*E13</f>
        <v>9.4608000000000008</v>
      </c>
    </row>
    <row r="17" spans="1:6" ht="33.75" x14ac:dyDescent="0.25">
      <c r="A17" s="4" t="s">
        <v>46</v>
      </c>
      <c r="B17" s="4" t="s">
        <v>47</v>
      </c>
      <c r="C17" s="5" t="s">
        <v>48</v>
      </c>
      <c r="D17" s="34" t="s">
        <v>21</v>
      </c>
      <c r="E17" s="34" t="s">
        <v>49</v>
      </c>
      <c r="F17" s="34">
        <f>E17*E13</f>
        <v>30.542400000000001</v>
      </c>
    </row>
    <row r="18" spans="1:6" x14ac:dyDescent="0.25">
      <c r="A18" s="4" t="s">
        <v>51</v>
      </c>
      <c r="B18" s="4" t="s">
        <v>52</v>
      </c>
      <c r="C18" s="5" t="s">
        <v>53</v>
      </c>
      <c r="D18" s="34" t="s">
        <v>54</v>
      </c>
      <c r="E18" s="34" t="s">
        <v>55</v>
      </c>
      <c r="F18" s="34">
        <f>E18*E13</f>
        <v>0.14399999999999999</v>
      </c>
    </row>
    <row r="19" spans="1:6" ht="45" x14ac:dyDescent="0.25">
      <c r="A19" s="2" t="s">
        <v>57</v>
      </c>
      <c r="B19" s="2" t="s">
        <v>58</v>
      </c>
      <c r="C19" s="3" t="s">
        <v>59</v>
      </c>
      <c r="D19" s="86" t="s">
        <v>60</v>
      </c>
      <c r="E19" s="116" t="s">
        <v>61</v>
      </c>
      <c r="F19" s="116"/>
    </row>
    <row r="20" spans="1:6" x14ac:dyDescent="0.25">
      <c r="A20" s="4" t="s">
        <v>62</v>
      </c>
      <c r="B20" s="4" t="s">
        <v>14</v>
      </c>
      <c r="C20" s="5" t="s">
        <v>15</v>
      </c>
      <c r="D20" s="34" t="s">
        <v>16</v>
      </c>
      <c r="E20" s="34" t="s">
        <v>63</v>
      </c>
      <c r="F20" s="34">
        <f>E20*E19</f>
        <v>30.619511999999997</v>
      </c>
    </row>
    <row r="21" spans="1:6" ht="22.5" x14ac:dyDescent="0.25">
      <c r="A21" s="4" t="s">
        <v>65</v>
      </c>
      <c r="B21" s="4" t="s">
        <v>66</v>
      </c>
      <c r="C21" s="5" t="s">
        <v>67</v>
      </c>
      <c r="D21" s="34" t="s">
        <v>21</v>
      </c>
      <c r="E21" s="34" t="s">
        <v>63</v>
      </c>
      <c r="F21" s="34">
        <f>E21*E19</f>
        <v>30.619511999999997</v>
      </c>
    </row>
    <row r="22" spans="1:6" ht="33.75" x14ac:dyDescent="0.25">
      <c r="A22" s="2" t="s">
        <v>68</v>
      </c>
      <c r="B22" s="2" t="s">
        <v>69</v>
      </c>
      <c r="C22" s="3" t="s">
        <v>70</v>
      </c>
      <c r="D22" s="86" t="s">
        <v>11</v>
      </c>
      <c r="E22" s="116" t="s">
        <v>12</v>
      </c>
      <c r="F22" s="116"/>
    </row>
    <row r="23" spans="1:6" x14ac:dyDescent="0.25">
      <c r="A23" s="4" t="s">
        <v>71</v>
      </c>
      <c r="B23" s="4" t="s">
        <v>14</v>
      </c>
      <c r="C23" s="5" t="s">
        <v>15</v>
      </c>
      <c r="D23" s="34" t="s">
        <v>16</v>
      </c>
      <c r="E23" s="34" t="s">
        <v>72</v>
      </c>
      <c r="F23" s="34">
        <f>E23*E22</f>
        <v>2.8512</v>
      </c>
    </row>
    <row r="24" spans="1:6" x14ac:dyDescent="0.25">
      <c r="A24" s="4" t="s">
        <v>74</v>
      </c>
      <c r="B24" s="4" t="s">
        <v>75</v>
      </c>
      <c r="C24" s="5" t="s">
        <v>76</v>
      </c>
      <c r="D24" s="34" t="s">
        <v>21</v>
      </c>
      <c r="E24" s="34" t="s">
        <v>72</v>
      </c>
      <c r="F24" s="34">
        <f>E24*E22</f>
        <v>2.8512</v>
      </c>
    </row>
    <row r="25" spans="1:6" x14ac:dyDescent="0.25">
      <c r="A25" s="4" t="s">
        <v>77</v>
      </c>
      <c r="B25" s="4" t="s">
        <v>52</v>
      </c>
      <c r="C25" s="5" t="s">
        <v>53</v>
      </c>
      <c r="D25" s="34" t="s">
        <v>54</v>
      </c>
      <c r="E25" s="34" t="s">
        <v>78</v>
      </c>
      <c r="F25" s="34">
        <f>E25*E22</f>
        <v>0.28799999999999998</v>
      </c>
    </row>
    <row r="26" spans="1:6" ht="56.25" x14ac:dyDescent="0.25">
      <c r="A26" s="2" t="s">
        <v>80</v>
      </c>
      <c r="B26" s="2" t="s">
        <v>81</v>
      </c>
      <c r="C26" s="3" t="s">
        <v>82</v>
      </c>
      <c r="D26" s="86" t="s">
        <v>11</v>
      </c>
      <c r="E26" s="116" t="s">
        <v>83</v>
      </c>
      <c r="F26" s="116"/>
    </row>
    <row r="27" spans="1:6" x14ac:dyDescent="0.25">
      <c r="A27" s="4" t="s">
        <v>84</v>
      </c>
      <c r="B27" s="4" t="s">
        <v>34</v>
      </c>
      <c r="C27" s="5" t="s">
        <v>35</v>
      </c>
      <c r="D27" s="34" t="s">
        <v>16</v>
      </c>
      <c r="E27" s="34" t="s">
        <v>85</v>
      </c>
      <c r="F27" s="34">
        <f>E27*E26</f>
        <v>67.599620000000002</v>
      </c>
    </row>
    <row r="28" spans="1:6" x14ac:dyDescent="0.25">
      <c r="A28" s="4" t="s">
        <v>87</v>
      </c>
      <c r="B28" s="4" t="s">
        <v>14</v>
      </c>
      <c r="C28" s="5" t="s">
        <v>15</v>
      </c>
      <c r="D28" s="34" t="s">
        <v>16</v>
      </c>
      <c r="E28" s="34" t="s">
        <v>88</v>
      </c>
      <c r="F28" s="34">
        <f>E28*E26</f>
        <v>191.07182</v>
      </c>
    </row>
    <row r="29" spans="1:6" s="92" customFormat="1" ht="33.75" x14ac:dyDescent="0.25">
      <c r="A29" s="89" t="s">
        <v>90</v>
      </c>
      <c r="B29" s="89" t="s">
        <v>42</v>
      </c>
      <c r="C29" s="90" t="s">
        <v>43</v>
      </c>
      <c r="D29" s="91" t="s">
        <v>21</v>
      </c>
      <c r="E29" s="91" t="s">
        <v>91</v>
      </c>
      <c r="F29" s="91">
        <f>E29*E26</f>
        <v>45.216759999999994</v>
      </c>
    </row>
    <row r="30" spans="1:6" ht="33.75" x14ac:dyDescent="0.25">
      <c r="A30" s="4" t="s">
        <v>93</v>
      </c>
      <c r="B30" s="4" t="s">
        <v>47</v>
      </c>
      <c r="C30" s="5" t="s">
        <v>48</v>
      </c>
      <c r="D30" s="34" t="s">
        <v>21</v>
      </c>
      <c r="E30" s="34" t="s">
        <v>94</v>
      </c>
      <c r="F30" s="34">
        <f>E30*E26</f>
        <v>145.85506000000001</v>
      </c>
    </row>
    <row r="31" spans="1:6" x14ac:dyDescent="0.25">
      <c r="A31" s="4" t="s">
        <v>96</v>
      </c>
      <c r="B31" s="4" t="s">
        <v>52</v>
      </c>
      <c r="C31" s="5" t="s">
        <v>53</v>
      </c>
      <c r="D31" s="34" t="s">
        <v>54</v>
      </c>
      <c r="E31" s="34" t="s">
        <v>97</v>
      </c>
      <c r="F31" s="34">
        <f>E31*E26</f>
        <v>0.67655999999999994</v>
      </c>
    </row>
    <row r="32" spans="1:6" ht="45" x14ac:dyDescent="0.25">
      <c r="A32" s="2" t="s">
        <v>99</v>
      </c>
      <c r="B32" s="2" t="s">
        <v>58</v>
      </c>
      <c r="C32" s="3" t="s">
        <v>59</v>
      </c>
      <c r="D32" s="86" t="s">
        <v>60</v>
      </c>
      <c r="E32" s="116" t="s">
        <v>100</v>
      </c>
      <c r="F32" s="116"/>
    </row>
    <row r="33" spans="1:6" x14ac:dyDescent="0.25">
      <c r="A33" s="4" t="s">
        <v>101</v>
      </c>
      <c r="B33" s="4" t="s">
        <v>14</v>
      </c>
      <c r="C33" s="5" t="s">
        <v>15</v>
      </c>
      <c r="D33" s="34" t="s">
        <v>16</v>
      </c>
      <c r="E33" s="34" t="s">
        <v>63</v>
      </c>
      <c r="F33" s="34">
        <f>E33*E32</f>
        <v>127.143142</v>
      </c>
    </row>
    <row r="34" spans="1:6" ht="22.5" x14ac:dyDescent="0.25">
      <c r="A34" s="4" t="s">
        <v>103</v>
      </c>
      <c r="B34" s="4" t="s">
        <v>66</v>
      </c>
      <c r="C34" s="5" t="s">
        <v>67</v>
      </c>
      <c r="D34" s="34" t="s">
        <v>21</v>
      </c>
      <c r="E34" s="34" t="s">
        <v>63</v>
      </c>
      <c r="F34" s="34">
        <f>E34*E32</f>
        <v>127.143142</v>
      </c>
    </row>
    <row r="35" spans="1:6" ht="67.5" x14ac:dyDescent="0.25">
      <c r="A35" s="2" t="s">
        <v>104</v>
      </c>
      <c r="B35" s="2" t="s">
        <v>105</v>
      </c>
      <c r="C35" s="3" t="s">
        <v>106</v>
      </c>
      <c r="D35" s="86" t="s">
        <v>107</v>
      </c>
      <c r="E35" s="116" t="s">
        <v>108</v>
      </c>
      <c r="F35" s="116"/>
    </row>
    <row r="36" spans="1:6" x14ac:dyDescent="0.25">
      <c r="A36" s="4" t="s">
        <v>109</v>
      </c>
      <c r="B36" s="4" t="s">
        <v>34</v>
      </c>
      <c r="C36" s="5" t="s">
        <v>35</v>
      </c>
      <c r="D36" s="34" t="s">
        <v>16</v>
      </c>
      <c r="E36" s="34" t="s">
        <v>110</v>
      </c>
      <c r="F36" s="34">
        <f>E36*E35</f>
        <v>15.966720000000002</v>
      </c>
    </row>
    <row r="37" spans="1:6" ht="33.75" x14ac:dyDescent="0.25">
      <c r="A37" s="2" t="s">
        <v>112</v>
      </c>
      <c r="B37" s="2" t="s">
        <v>113</v>
      </c>
      <c r="C37" s="3" t="s">
        <v>114</v>
      </c>
      <c r="D37" s="86" t="s">
        <v>11</v>
      </c>
      <c r="E37" s="116" t="s">
        <v>83</v>
      </c>
      <c r="F37" s="116"/>
    </row>
    <row r="38" spans="1:6" x14ac:dyDescent="0.25">
      <c r="A38" s="4" t="s">
        <v>115</v>
      </c>
      <c r="B38" s="4" t="s">
        <v>14</v>
      </c>
      <c r="C38" s="5" t="s">
        <v>15</v>
      </c>
      <c r="D38" s="34" t="s">
        <v>16</v>
      </c>
      <c r="E38" s="34" t="s">
        <v>116</v>
      </c>
      <c r="F38" s="34">
        <f>E38*E37</f>
        <v>12.06532</v>
      </c>
    </row>
    <row r="39" spans="1:6" x14ac:dyDescent="0.25">
      <c r="A39" s="4" t="s">
        <v>118</v>
      </c>
      <c r="B39" s="4" t="s">
        <v>75</v>
      </c>
      <c r="C39" s="5" t="s">
        <v>76</v>
      </c>
      <c r="D39" s="34" t="s">
        <v>21</v>
      </c>
      <c r="E39" s="34" t="s">
        <v>116</v>
      </c>
      <c r="F39" s="34">
        <f>E39*E37</f>
        <v>12.06532</v>
      </c>
    </row>
    <row r="40" spans="1:6" x14ac:dyDescent="0.25">
      <c r="A40" s="4" t="s">
        <v>119</v>
      </c>
      <c r="B40" s="4" t="s">
        <v>52</v>
      </c>
      <c r="C40" s="5" t="s">
        <v>53</v>
      </c>
      <c r="D40" s="34" t="s">
        <v>54</v>
      </c>
      <c r="E40" s="34" t="s">
        <v>120</v>
      </c>
      <c r="F40" s="34">
        <f>E40*E37</f>
        <v>1.3531199999999999</v>
      </c>
    </row>
    <row r="41" spans="1:6" ht="45" x14ac:dyDescent="0.25">
      <c r="A41" s="2" t="s">
        <v>122</v>
      </c>
      <c r="B41" s="2" t="s">
        <v>123</v>
      </c>
      <c r="C41" s="3" t="s">
        <v>124</v>
      </c>
      <c r="D41" s="86" t="s">
        <v>11</v>
      </c>
      <c r="E41" s="116" t="s">
        <v>83</v>
      </c>
      <c r="F41" s="116"/>
    </row>
    <row r="42" spans="1:6" x14ac:dyDescent="0.25">
      <c r="A42" s="4" t="s">
        <v>125</v>
      </c>
      <c r="B42" s="4" t="s">
        <v>34</v>
      </c>
      <c r="C42" s="5" t="s">
        <v>35</v>
      </c>
      <c r="D42" s="34" t="s">
        <v>16</v>
      </c>
      <c r="E42" s="34" t="s">
        <v>126</v>
      </c>
      <c r="F42" s="34">
        <f>E42*E41</f>
        <v>20.578699999999998</v>
      </c>
    </row>
    <row r="43" spans="1:6" x14ac:dyDescent="0.25">
      <c r="A43" s="4" t="s">
        <v>128</v>
      </c>
      <c r="B43" s="4" t="s">
        <v>14</v>
      </c>
      <c r="C43" s="5" t="s">
        <v>15</v>
      </c>
      <c r="D43" s="34" t="s">
        <v>16</v>
      </c>
      <c r="E43" s="34" t="s">
        <v>129</v>
      </c>
      <c r="F43" s="34">
        <f>E43*E41</f>
        <v>24.203934</v>
      </c>
    </row>
    <row r="44" spans="1:6" ht="22.5" x14ac:dyDescent="0.25">
      <c r="A44" s="4" t="s">
        <v>131</v>
      </c>
      <c r="B44" s="4" t="s">
        <v>132</v>
      </c>
      <c r="C44" s="5" t="s">
        <v>133</v>
      </c>
      <c r="D44" s="34" t="s">
        <v>21</v>
      </c>
      <c r="E44" s="34" t="s">
        <v>134</v>
      </c>
      <c r="F44" s="34">
        <f>E44*E41</f>
        <v>0.47810239999999998</v>
      </c>
    </row>
    <row r="45" spans="1:6" ht="33.75" x14ac:dyDescent="0.25">
      <c r="A45" s="4" t="s">
        <v>136</v>
      </c>
      <c r="B45" s="4" t="s">
        <v>42</v>
      </c>
      <c r="C45" s="5" t="s">
        <v>43</v>
      </c>
      <c r="D45" s="34" t="s">
        <v>21</v>
      </c>
      <c r="E45" s="34" t="s">
        <v>137</v>
      </c>
      <c r="F45" s="34">
        <f>E45*E41</f>
        <v>23.725831599999999</v>
      </c>
    </row>
    <row r="46" spans="1:6" x14ac:dyDescent="0.25">
      <c r="A46" s="4" t="s">
        <v>139</v>
      </c>
      <c r="B46" s="4" t="s">
        <v>52</v>
      </c>
      <c r="C46" s="5" t="s">
        <v>53</v>
      </c>
      <c r="D46" s="34" t="s">
        <v>54</v>
      </c>
      <c r="E46" s="34" t="s">
        <v>140</v>
      </c>
      <c r="F46" s="34">
        <f>E46*E41</f>
        <v>0.22552</v>
      </c>
    </row>
    <row r="47" spans="1:6" x14ac:dyDescent="0.25">
      <c r="A47" s="2" t="s">
        <v>142</v>
      </c>
      <c r="B47" s="2" t="s">
        <v>143</v>
      </c>
      <c r="C47" s="3" t="s">
        <v>144</v>
      </c>
      <c r="D47" s="86" t="s">
        <v>145</v>
      </c>
      <c r="E47" s="116" t="s">
        <v>146</v>
      </c>
      <c r="F47" s="116"/>
    </row>
    <row r="48" spans="1:6" x14ac:dyDescent="0.25">
      <c r="A48" s="4" t="s">
        <v>147</v>
      </c>
      <c r="B48" s="4" t="s">
        <v>34</v>
      </c>
      <c r="C48" s="5" t="s">
        <v>35</v>
      </c>
      <c r="D48" s="34" t="s">
        <v>16</v>
      </c>
      <c r="E48" s="34" t="s">
        <v>148</v>
      </c>
      <c r="F48" s="34">
        <f>E48*E47</f>
        <v>228.47999999999996</v>
      </c>
    </row>
    <row r="49" spans="1:6" x14ac:dyDescent="0.25">
      <c r="A49" s="4" t="s">
        <v>150</v>
      </c>
      <c r="B49" s="4" t="s">
        <v>14</v>
      </c>
      <c r="C49" s="5" t="s">
        <v>15</v>
      </c>
      <c r="D49" s="34" t="s">
        <v>16</v>
      </c>
      <c r="E49" s="34" t="s">
        <v>151</v>
      </c>
      <c r="F49" s="34">
        <f>E49*E47</f>
        <v>11.423999999999999</v>
      </c>
    </row>
    <row r="50" spans="1:6" x14ac:dyDescent="0.25">
      <c r="A50" s="4" t="s">
        <v>153</v>
      </c>
      <c r="B50" s="4" t="s">
        <v>154</v>
      </c>
      <c r="C50" s="5" t="s">
        <v>155</v>
      </c>
      <c r="D50" s="34" t="s">
        <v>21</v>
      </c>
      <c r="E50" s="34" t="s">
        <v>151</v>
      </c>
      <c r="F50" s="34">
        <f>E50*E47</f>
        <v>11.423999999999999</v>
      </c>
    </row>
    <row r="51" spans="1:6" x14ac:dyDescent="0.25">
      <c r="A51" s="4" t="s">
        <v>156</v>
      </c>
      <c r="B51" s="4" t="s">
        <v>157</v>
      </c>
      <c r="C51" s="5" t="s">
        <v>158</v>
      </c>
      <c r="D51" s="34" t="s">
        <v>54</v>
      </c>
      <c r="E51" s="34" t="s">
        <v>159</v>
      </c>
      <c r="F51" s="34">
        <f>E51*E47</f>
        <v>280</v>
      </c>
    </row>
    <row r="52" spans="1:6" ht="33.75" x14ac:dyDescent="0.25">
      <c r="A52" s="2" t="s">
        <v>161</v>
      </c>
      <c r="B52" s="2" t="s">
        <v>162</v>
      </c>
      <c r="C52" s="3" t="s">
        <v>163</v>
      </c>
      <c r="D52" s="86" t="s">
        <v>164</v>
      </c>
      <c r="E52" s="116" t="s">
        <v>165</v>
      </c>
      <c r="F52" s="116"/>
    </row>
    <row r="53" spans="1:6" x14ac:dyDescent="0.25">
      <c r="A53" s="4" t="s">
        <v>166</v>
      </c>
      <c r="B53" s="4" t="s">
        <v>34</v>
      </c>
      <c r="C53" s="5" t="s">
        <v>35</v>
      </c>
      <c r="D53" s="34" t="s">
        <v>16</v>
      </c>
      <c r="E53" s="34" t="s">
        <v>167</v>
      </c>
      <c r="F53" s="34">
        <f>E53*E52</f>
        <v>37.032351999999996</v>
      </c>
    </row>
    <row r="54" spans="1:6" x14ac:dyDescent="0.25">
      <c r="A54" s="4" t="s">
        <v>169</v>
      </c>
      <c r="B54" s="4" t="s">
        <v>170</v>
      </c>
      <c r="C54" s="5" t="s">
        <v>171</v>
      </c>
      <c r="D54" s="34" t="s">
        <v>21</v>
      </c>
      <c r="E54" s="34" t="s">
        <v>167</v>
      </c>
      <c r="F54" s="34">
        <f>E54*E52</f>
        <v>37.032351999999996</v>
      </c>
    </row>
    <row r="55" spans="1:6" ht="33.75" x14ac:dyDescent="0.25">
      <c r="A55" s="2" t="s">
        <v>172</v>
      </c>
      <c r="B55" s="2" t="s">
        <v>173</v>
      </c>
      <c r="C55" s="3" t="s">
        <v>174</v>
      </c>
      <c r="D55" s="86" t="s">
        <v>175</v>
      </c>
      <c r="E55" s="116" t="s">
        <v>176</v>
      </c>
      <c r="F55" s="116"/>
    </row>
    <row r="56" spans="1:6" x14ac:dyDescent="0.25">
      <c r="A56" s="4" t="s">
        <v>177</v>
      </c>
      <c r="B56" s="4" t="s">
        <v>34</v>
      </c>
      <c r="C56" s="5" t="s">
        <v>35</v>
      </c>
      <c r="D56" s="34" t="s">
        <v>16</v>
      </c>
      <c r="E56" s="34" t="s">
        <v>178</v>
      </c>
      <c r="F56" s="34">
        <f>E56*E55</f>
        <v>43.392000000000003</v>
      </c>
    </row>
    <row r="57" spans="1:6" x14ac:dyDescent="0.25">
      <c r="A57" s="4" t="s">
        <v>180</v>
      </c>
      <c r="B57" s="4" t="s">
        <v>14</v>
      </c>
      <c r="C57" s="5" t="s">
        <v>15</v>
      </c>
      <c r="D57" s="34" t="s">
        <v>16</v>
      </c>
      <c r="E57" s="34" t="s">
        <v>181</v>
      </c>
      <c r="F57" s="34">
        <f>E57*E55</f>
        <v>6.7200000000000006</v>
      </c>
    </row>
    <row r="58" spans="1:6" s="92" customFormat="1" ht="33.75" x14ac:dyDescent="0.25">
      <c r="A58" s="89" t="s">
        <v>183</v>
      </c>
      <c r="B58" s="89" t="s">
        <v>184</v>
      </c>
      <c r="C58" s="90" t="s">
        <v>185</v>
      </c>
      <c r="D58" s="91" t="s">
        <v>21</v>
      </c>
      <c r="E58" s="91" t="s">
        <v>186</v>
      </c>
      <c r="F58" s="91">
        <f>E58*E55</f>
        <v>6.48</v>
      </c>
    </row>
    <row r="59" spans="1:6" ht="22.5" x14ac:dyDescent="0.25">
      <c r="A59" s="4" t="s">
        <v>188</v>
      </c>
      <c r="B59" s="4" t="s">
        <v>189</v>
      </c>
      <c r="C59" s="5" t="s">
        <v>190</v>
      </c>
      <c r="D59" s="34" t="s">
        <v>21</v>
      </c>
      <c r="E59" s="34" t="s">
        <v>191</v>
      </c>
      <c r="F59" s="34">
        <f>E59*E55</f>
        <v>0.24</v>
      </c>
    </row>
    <row r="60" spans="1:6" x14ac:dyDescent="0.25">
      <c r="A60" s="4" t="s">
        <v>192</v>
      </c>
      <c r="B60" s="4" t="s">
        <v>193</v>
      </c>
      <c r="C60" s="5" t="s">
        <v>194</v>
      </c>
      <c r="D60" s="34" t="s">
        <v>54</v>
      </c>
      <c r="E60" s="34" t="s">
        <v>195</v>
      </c>
      <c r="F60" s="34">
        <f>E60*E55</f>
        <v>7.8400000000000007</v>
      </c>
    </row>
    <row r="61" spans="1:6" ht="22.5" x14ac:dyDescent="0.25">
      <c r="A61" s="2" t="s">
        <v>197</v>
      </c>
      <c r="B61" s="2" t="s">
        <v>198</v>
      </c>
      <c r="C61" s="3" t="s">
        <v>199</v>
      </c>
      <c r="D61" s="86" t="s">
        <v>200</v>
      </c>
      <c r="E61" s="116" t="s">
        <v>201</v>
      </c>
      <c r="F61" s="116"/>
    </row>
    <row r="62" spans="1:6" ht="33.75" x14ac:dyDescent="0.25">
      <c r="A62" s="2" t="s">
        <v>202</v>
      </c>
      <c r="B62" s="2" t="s">
        <v>203</v>
      </c>
      <c r="C62" s="3" t="s">
        <v>204</v>
      </c>
      <c r="D62" s="86" t="s">
        <v>175</v>
      </c>
      <c r="E62" s="116" t="s">
        <v>205</v>
      </c>
      <c r="F62" s="116"/>
    </row>
    <row r="63" spans="1:6" x14ac:dyDescent="0.25">
      <c r="A63" s="4" t="s">
        <v>206</v>
      </c>
      <c r="B63" s="4" t="s">
        <v>34</v>
      </c>
      <c r="C63" s="5" t="s">
        <v>35</v>
      </c>
      <c r="D63" s="34" t="s">
        <v>16</v>
      </c>
      <c r="E63" s="34" t="s">
        <v>207</v>
      </c>
      <c r="F63" s="34">
        <f>E63*E62</f>
        <v>11.872</v>
      </c>
    </row>
    <row r="64" spans="1:6" x14ac:dyDescent="0.25">
      <c r="A64" s="4" t="s">
        <v>209</v>
      </c>
      <c r="B64" s="4" t="s">
        <v>14</v>
      </c>
      <c r="C64" s="5" t="s">
        <v>15</v>
      </c>
      <c r="D64" s="34" t="s">
        <v>16</v>
      </c>
      <c r="E64" s="34" t="s">
        <v>210</v>
      </c>
      <c r="F64" s="34">
        <f>E64*E62</f>
        <v>1.8480000000000001</v>
      </c>
    </row>
    <row r="65" spans="1:6" ht="33.75" x14ac:dyDescent="0.25">
      <c r="A65" s="4" t="s">
        <v>212</v>
      </c>
      <c r="B65" s="4" t="s">
        <v>184</v>
      </c>
      <c r="C65" s="5" t="s">
        <v>185</v>
      </c>
      <c r="D65" s="34" t="s">
        <v>21</v>
      </c>
      <c r="E65" s="34" t="s">
        <v>213</v>
      </c>
      <c r="F65" s="34">
        <f>E65*E62</f>
        <v>1.7640000000000002</v>
      </c>
    </row>
    <row r="66" spans="1:6" ht="22.5" x14ac:dyDescent="0.25">
      <c r="A66" s="4" t="s">
        <v>215</v>
      </c>
      <c r="B66" s="4" t="s">
        <v>189</v>
      </c>
      <c r="C66" s="5" t="s">
        <v>190</v>
      </c>
      <c r="D66" s="34" t="s">
        <v>21</v>
      </c>
      <c r="E66" s="34" t="s">
        <v>216</v>
      </c>
      <c r="F66" s="34">
        <f>E66*E62</f>
        <v>8.4000000000000005E-2</v>
      </c>
    </row>
    <row r="67" spans="1:6" x14ac:dyDescent="0.25">
      <c r="A67" s="4" t="s">
        <v>218</v>
      </c>
      <c r="B67" s="4" t="s">
        <v>193</v>
      </c>
      <c r="C67" s="5" t="s">
        <v>194</v>
      </c>
      <c r="D67" s="34" t="s">
        <v>54</v>
      </c>
      <c r="E67" s="34" t="s">
        <v>219</v>
      </c>
      <c r="F67" s="34">
        <f>E67*E62</f>
        <v>3.12</v>
      </c>
    </row>
    <row r="68" spans="1:6" ht="22.5" x14ac:dyDescent="0.25">
      <c r="A68" s="2" t="s">
        <v>221</v>
      </c>
      <c r="B68" s="2" t="s">
        <v>222</v>
      </c>
      <c r="C68" s="3" t="s">
        <v>223</v>
      </c>
      <c r="D68" s="86" t="s">
        <v>200</v>
      </c>
      <c r="E68" s="116" t="s">
        <v>224</v>
      </c>
      <c r="F68" s="116"/>
    </row>
    <row r="69" spans="1:6" ht="67.5" x14ac:dyDescent="0.25">
      <c r="A69" s="2" t="s">
        <v>225</v>
      </c>
      <c r="B69" s="2" t="s">
        <v>105</v>
      </c>
      <c r="C69" s="3" t="s">
        <v>106</v>
      </c>
      <c r="D69" s="86" t="s">
        <v>107</v>
      </c>
      <c r="E69" s="116" t="s">
        <v>226</v>
      </c>
      <c r="F69" s="116"/>
    </row>
    <row r="70" spans="1:6" x14ac:dyDescent="0.25">
      <c r="A70" s="4" t="s">
        <v>227</v>
      </c>
      <c r="B70" s="4" t="s">
        <v>34</v>
      </c>
      <c r="C70" s="5" t="s">
        <v>35</v>
      </c>
      <c r="D70" s="34" t="s">
        <v>16</v>
      </c>
      <c r="E70" s="34" t="s">
        <v>110</v>
      </c>
      <c r="F70" s="34">
        <f>E70*E69</f>
        <v>46.2</v>
      </c>
    </row>
    <row r="71" spans="1:6" ht="33.75" x14ac:dyDescent="0.25">
      <c r="A71" s="2" t="s">
        <v>228</v>
      </c>
      <c r="B71" s="2" t="s">
        <v>229</v>
      </c>
      <c r="C71" s="3" t="s">
        <v>230</v>
      </c>
      <c r="D71" s="86" t="s">
        <v>107</v>
      </c>
      <c r="E71" s="116" t="s">
        <v>231</v>
      </c>
      <c r="F71" s="116"/>
    </row>
    <row r="72" spans="1:6" x14ac:dyDescent="0.25">
      <c r="A72" s="4" t="s">
        <v>232</v>
      </c>
      <c r="B72" s="4" t="s">
        <v>34</v>
      </c>
      <c r="C72" s="5" t="s">
        <v>35</v>
      </c>
      <c r="D72" s="34" t="s">
        <v>16</v>
      </c>
      <c r="E72" s="34" t="s">
        <v>233</v>
      </c>
      <c r="F72" s="34">
        <f>E72*E71</f>
        <v>4097.28</v>
      </c>
    </row>
    <row r="73" spans="1:6" x14ac:dyDescent="0.25">
      <c r="A73" s="4" t="s">
        <v>235</v>
      </c>
      <c r="B73" s="4" t="s">
        <v>14</v>
      </c>
      <c r="C73" s="5" t="s">
        <v>15</v>
      </c>
      <c r="D73" s="34" t="s">
        <v>16</v>
      </c>
      <c r="E73" s="34" t="s">
        <v>236</v>
      </c>
      <c r="F73" s="34">
        <f>E73*E71</f>
        <v>0.64019999999999999</v>
      </c>
    </row>
    <row r="74" spans="1:6" ht="22.5" x14ac:dyDescent="0.25">
      <c r="A74" s="4" t="s">
        <v>238</v>
      </c>
      <c r="B74" s="4" t="s">
        <v>239</v>
      </c>
      <c r="C74" s="5" t="s">
        <v>190</v>
      </c>
      <c r="D74" s="34" t="s">
        <v>21</v>
      </c>
      <c r="E74" s="34" t="s">
        <v>236</v>
      </c>
      <c r="F74" s="34">
        <f>E74*E71</f>
        <v>0.64019999999999999</v>
      </c>
    </row>
    <row r="75" spans="1:6" x14ac:dyDescent="0.25">
      <c r="A75" s="4" t="s">
        <v>240</v>
      </c>
      <c r="B75" s="4" t="s">
        <v>241</v>
      </c>
      <c r="C75" s="5" t="s">
        <v>242</v>
      </c>
      <c r="D75" s="34" t="s">
        <v>54</v>
      </c>
      <c r="E75" s="34" t="s">
        <v>243</v>
      </c>
      <c r="F75" s="34">
        <f>E75*E71</f>
        <v>1120.3499999999999</v>
      </c>
    </row>
    <row r="76" spans="1:6" x14ac:dyDescent="0.25">
      <c r="A76" s="4" t="s">
        <v>245</v>
      </c>
      <c r="B76" s="4" t="s">
        <v>246</v>
      </c>
      <c r="C76" s="5" t="s">
        <v>194</v>
      </c>
      <c r="D76" s="34" t="s">
        <v>54</v>
      </c>
      <c r="E76" s="34" t="s">
        <v>172</v>
      </c>
      <c r="F76" s="34">
        <f>E76*E71</f>
        <v>138.71</v>
      </c>
    </row>
    <row r="77" spans="1:6" x14ac:dyDescent="0.25">
      <c r="A77" s="4" t="s">
        <v>248</v>
      </c>
      <c r="B77" s="4" t="s">
        <v>249</v>
      </c>
      <c r="C77" s="5" t="s">
        <v>250</v>
      </c>
      <c r="D77" s="34" t="s">
        <v>60</v>
      </c>
      <c r="E77" s="34" t="s">
        <v>251</v>
      </c>
      <c r="F77" s="34">
        <f>E77*E71</f>
        <v>2.8809000000000001E-2</v>
      </c>
    </row>
    <row r="78" spans="1:6" ht="33.75" x14ac:dyDescent="0.25">
      <c r="A78" s="4" t="s">
        <v>253</v>
      </c>
      <c r="B78" s="4" t="s">
        <v>254</v>
      </c>
      <c r="C78" s="5" t="s">
        <v>255</v>
      </c>
      <c r="D78" s="34" t="s">
        <v>54</v>
      </c>
      <c r="E78" s="34" t="s">
        <v>256</v>
      </c>
      <c r="F78" s="34">
        <f>E78*E71</f>
        <v>1.6325099999999999</v>
      </c>
    </row>
    <row r="79" spans="1:6" ht="56.25" x14ac:dyDescent="0.25">
      <c r="A79" s="2" t="s">
        <v>258</v>
      </c>
      <c r="B79" s="2" t="s">
        <v>81</v>
      </c>
      <c r="C79" s="3" t="s">
        <v>82</v>
      </c>
      <c r="D79" s="86" t="s">
        <v>11</v>
      </c>
      <c r="E79" s="116" t="s">
        <v>259</v>
      </c>
      <c r="F79" s="116"/>
    </row>
    <row r="80" spans="1:6" x14ac:dyDescent="0.25">
      <c r="A80" s="4" t="s">
        <v>260</v>
      </c>
      <c r="B80" s="4" t="s">
        <v>34</v>
      </c>
      <c r="C80" s="5" t="s">
        <v>35</v>
      </c>
      <c r="D80" s="34" t="s">
        <v>16</v>
      </c>
      <c r="E80" s="34" t="s">
        <v>85</v>
      </c>
      <c r="F80" s="34">
        <f>E80*E79</f>
        <v>54.806289999999997</v>
      </c>
    </row>
    <row r="81" spans="1:6" x14ac:dyDescent="0.25">
      <c r="A81" s="4" t="s">
        <v>262</v>
      </c>
      <c r="B81" s="4" t="s">
        <v>14</v>
      </c>
      <c r="C81" s="5" t="s">
        <v>15</v>
      </c>
      <c r="D81" s="34" t="s">
        <v>16</v>
      </c>
      <c r="E81" s="34" t="s">
        <v>88</v>
      </c>
      <c r="F81" s="34">
        <f>E81*E79</f>
        <v>154.91119</v>
      </c>
    </row>
    <row r="82" spans="1:6" ht="33.75" x14ac:dyDescent="0.25">
      <c r="A82" s="4" t="s">
        <v>264</v>
      </c>
      <c r="B82" s="4" t="s">
        <v>42</v>
      </c>
      <c r="C82" s="5" t="s">
        <v>43</v>
      </c>
      <c r="D82" s="34" t="s">
        <v>21</v>
      </c>
      <c r="E82" s="34" t="s">
        <v>91</v>
      </c>
      <c r="F82" s="34">
        <f>E82*E79</f>
        <v>36.659419999999997</v>
      </c>
    </row>
    <row r="83" spans="1:6" ht="33.75" x14ac:dyDescent="0.25">
      <c r="A83" s="4" t="s">
        <v>266</v>
      </c>
      <c r="B83" s="4" t="s">
        <v>47</v>
      </c>
      <c r="C83" s="5" t="s">
        <v>48</v>
      </c>
      <c r="D83" s="34" t="s">
        <v>21</v>
      </c>
      <c r="E83" s="34" t="s">
        <v>94</v>
      </c>
      <c r="F83" s="34">
        <f>E83*E79</f>
        <v>118.25176999999999</v>
      </c>
    </row>
    <row r="84" spans="1:6" x14ac:dyDescent="0.25">
      <c r="A84" s="4" t="s">
        <v>268</v>
      </c>
      <c r="B84" s="4" t="s">
        <v>52</v>
      </c>
      <c r="C84" s="5" t="s">
        <v>53</v>
      </c>
      <c r="D84" s="34" t="s">
        <v>54</v>
      </c>
      <c r="E84" s="34" t="s">
        <v>97</v>
      </c>
      <c r="F84" s="34">
        <f>E84*E79</f>
        <v>0.5485199999999999</v>
      </c>
    </row>
    <row r="85" spans="1:6" ht="45" x14ac:dyDescent="0.25">
      <c r="A85" s="2" t="s">
        <v>270</v>
      </c>
      <c r="B85" s="2" t="s">
        <v>58</v>
      </c>
      <c r="C85" s="3" t="s">
        <v>59</v>
      </c>
      <c r="D85" s="86" t="s">
        <v>60</v>
      </c>
      <c r="E85" s="116" t="s">
        <v>271</v>
      </c>
      <c r="F85" s="116"/>
    </row>
    <row r="86" spans="1:6" x14ac:dyDescent="0.25">
      <c r="A86" s="4" t="s">
        <v>272</v>
      </c>
      <c r="B86" s="4" t="s">
        <v>14</v>
      </c>
      <c r="C86" s="5" t="s">
        <v>15</v>
      </c>
      <c r="D86" s="34" t="s">
        <v>16</v>
      </c>
      <c r="E86" s="34" t="s">
        <v>63</v>
      </c>
      <c r="F86" s="34">
        <f>E86*E85</f>
        <v>103.083113</v>
      </c>
    </row>
    <row r="87" spans="1:6" ht="22.5" x14ac:dyDescent="0.25">
      <c r="A87" s="4" t="s">
        <v>274</v>
      </c>
      <c r="B87" s="4" t="s">
        <v>66</v>
      </c>
      <c r="C87" s="5" t="s">
        <v>67</v>
      </c>
      <c r="D87" s="34" t="s">
        <v>21</v>
      </c>
      <c r="E87" s="34" t="s">
        <v>63</v>
      </c>
      <c r="F87" s="34">
        <f>E87*E85</f>
        <v>103.083113</v>
      </c>
    </row>
    <row r="88" spans="1:6" ht="33.75" x14ac:dyDescent="0.25">
      <c r="A88" s="2" t="s">
        <v>275</v>
      </c>
      <c r="B88" s="2" t="s">
        <v>113</v>
      </c>
      <c r="C88" s="3" t="s">
        <v>114</v>
      </c>
      <c r="D88" s="86" t="s">
        <v>11</v>
      </c>
      <c r="E88" s="116" t="s">
        <v>259</v>
      </c>
      <c r="F88" s="116"/>
    </row>
    <row r="89" spans="1:6" x14ac:dyDescent="0.25">
      <c r="A89" s="4" t="s">
        <v>276</v>
      </c>
      <c r="B89" s="4" t="s">
        <v>14</v>
      </c>
      <c r="C89" s="5" t="s">
        <v>15</v>
      </c>
      <c r="D89" s="34" t="s">
        <v>16</v>
      </c>
      <c r="E89" s="34" t="s">
        <v>116</v>
      </c>
      <c r="F89" s="34">
        <f>E89*E88</f>
        <v>9.7819400000000005</v>
      </c>
    </row>
    <row r="90" spans="1:6" x14ac:dyDescent="0.25">
      <c r="A90" s="4" t="s">
        <v>278</v>
      </c>
      <c r="B90" s="4" t="s">
        <v>75</v>
      </c>
      <c r="C90" s="5" t="s">
        <v>76</v>
      </c>
      <c r="D90" s="34" t="s">
        <v>21</v>
      </c>
      <c r="E90" s="34" t="s">
        <v>116</v>
      </c>
      <c r="F90" s="34">
        <f>E90*E88</f>
        <v>9.7819400000000005</v>
      </c>
    </row>
    <row r="91" spans="1:6" x14ac:dyDescent="0.25">
      <c r="A91" s="4" t="s">
        <v>279</v>
      </c>
      <c r="B91" s="4" t="s">
        <v>52</v>
      </c>
      <c r="C91" s="5" t="s">
        <v>53</v>
      </c>
      <c r="D91" s="34" t="s">
        <v>54</v>
      </c>
      <c r="E91" s="34" t="s">
        <v>120</v>
      </c>
      <c r="F91" s="34">
        <f>E91*E88</f>
        <v>1.0970399999999998</v>
      </c>
    </row>
    <row r="92" spans="1:6" ht="67.5" x14ac:dyDescent="0.25">
      <c r="A92" s="2" t="s">
        <v>281</v>
      </c>
      <c r="B92" s="2" t="s">
        <v>282</v>
      </c>
      <c r="C92" s="3" t="s">
        <v>283</v>
      </c>
      <c r="D92" s="86" t="s">
        <v>11</v>
      </c>
      <c r="E92" s="116" t="s">
        <v>259</v>
      </c>
      <c r="F92" s="116"/>
    </row>
    <row r="93" spans="1:6" x14ac:dyDescent="0.25">
      <c r="A93" s="4" t="s">
        <v>284</v>
      </c>
      <c r="B93" s="4" t="s">
        <v>14</v>
      </c>
      <c r="C93" s="5" t="s">
        <v>15</v>
      </c>
      <c r="D93" s="34" t="s">
        <v>16</v>
      </c>
      <c r="E93" s="34" t="s">
        <v>285</v>
      </c>
      <c r="F93" s="34">
        <f>E93*E92</f>
        <v>45.303180999999995</v>
      </c>
    </row>
    <row r="94" spans="1:6" ht="33.75" x14ac:dyDescent="0.25">
      <c r="A94" s="4" t="s">
        <v>287</v>
      </c>
      <c r="B94" s="4" t="s">
        <v>19</v>
      </c>
      <c r="C94" s="5" t="s">
        <v>20</v>
      </c>
      <c r="D94" s="34" t="s">
        <v>21</v>
      </c>
      <c r="E94" s="34" t="s">
        <v>285</v>
      </c>
      <c r="F94" s="34">
        <f>E94*E92</f>
        <v>45.303180999999995</v>
      </c>
    </row>
    <row r="95" spans="1:6" ht="33.75" x14ac:dyDescent="0.25">
      <c r="A95" s="2" t="s">
        <v>288</v>
      </c>
      <c r="B95" s="2" t="s">
        <v>24</v>
      </c>
      <c r="C95" s="3" t="s">
        <v>25</v>
      </c>
      <c r="D95" s="86" t="s">
        <v>11</v>
      </c>
      <c r="E95" s="116" t="s">
        <v>259</v>
      </c>
      <c r="F95" s="116"/>
    </row>
    <row r="96" spans="1:6" x14ac:dyDescent="0.25">
      <c r="A96" s="4" t="s">
        <v>289</v>
      </c>
      <c r="B96" s="4" t="s">
        <v>14</v>
      </c>
      <c r="C96" s="5" t="s">
        <v>15</v>
      </c>
      <c r="D96" s="34" t="s">
        <v>16</v>
      </c>
      <c r="E96" s="34" t="s">
        <v>27</v>
      </c>
      <c r="F96" s="34">
        <f>E96*E95</f>
        <v>211.18020000000001</v>
      </c>
    </row>
    <row r="97" spans="1:7" ht="33.75" x14ac:dyDescent="0.25">
      <c r="A97" s="4" t="s">
        <v>291</v>
      </c>
      <c r="B97" s="4" t="s">
        <v>19</v>
      </c>
      <c r="C97" s="5" t="s">
        <v>20</v>
      </c>
      <c r="D97" s="34" t="s">
        <v>21</v>
      </c>
      <c r="E97" s="34" t="s">
        <v>27</v>
      </c>
      <c r="F97" s="34">
        <f>E97*E95</f>
        <v>211.18020000000001</v>
      </c>
    </row>
    <row r="98" spans="1:7" x14ac:dyDescent="0.25">
      <c r="A98" s="2" t="s">
        <v>292</v>
      </c>
      <c r="B98" s="2" t="s">
        <v>293</v>
      </c>
      <c r="C98" s="3" t="s">
        <v>294</v>
      </c>
      <c r="D98" s="86" t="s">
        <v>107</v>
      </c>
      <c r="E98" s="116" t="s">
        <v>295</v>
      </c>
      <c r="F98" s="116"/>
    </row>
    <row r="99" spans="1:7" x14ac:dyDescent="0.25">
      <c r="A99" s="4" t="s">
        <v>296</v>
      </c>
      <c r="B99" s="4" t="s">
        <v>34</v>
      </c>
      <c r="C99" s="5" t="s">
        <v>35</v>
      </c>
      <c r="D99" s="34" t="s">
        <v>16</v>
      </c>
      <c r="E99" s="34" t="s">
        <v>297</v>
      </c>
      <c r="F99" s="34">
        <f>E99*E98</f>
        <v>2.2759199999999997</v>
      </c>
    </row>
    <row r="100" spans="1:7" x14ac:dyDescent="0.25">
      <c r="A100" s="4" t="s">
        <v>299</v>
      </c>
      <c r="B100" s="4" t="s">
        <v>14</v>
      </c>
      <c r="C100" s="5" t="s">
        <v>15</v>
      </c>
      <c r="D100" s="34" t="s">
        <v>16</v>
      </c>
      <c r="E100" s="34" t="s">
        <v>300</v>
      </c>
      <c r="F100" s="34">
        <f>E100*E98</f>
        <v>0.201492</v>
      </c>
    </row>
    <row r="101" spans="1:7" x14ac:dyDescent="0.25">
      <c r="A101" s="4" t="s">
        <v>302</v>
      </c>
      <c r="B101" s="4" t="s">
        <v>303</v>
      </c>
      <c r="C101" s="5" t="s">
        <v>304</v>
      </c>
      <c r="D101" s="34" t="s">
        <v>21</v>
      </c>
      <c r="E101" s="34" t="s">
        <v>305</v>
      </c>
      <c r="F101" s="34">
        <f>E101*E98</f>
        <v>0.119016</v>
      </c>
    </row>
    <row r="102" spans="1:7" ht="33.75" x14ac:dyDescent="0.25">
      <c r="A102" s="4" t="s">
        <v>307</v>
      </c>
      <c r="B102" s="4" t="s">
        <v>308</v>
      </c>
      <c r="C102" s="5" t="s">
        <v>309</v>
      </c>
      <c r="D102" s="34" t="s">
        <v>21</v>
      </c>
      <c r="E102" s="34" t="s">
        <v>310</v>
      </c>
      <c r="F102" s="34">
        <f>E102*E98</f>
        <v>5.5749599999999996E-2</v>
      </c>
    </row>
    <row r="103" spans="1:7" ht="33.75" x14ac:dyDescent="0.25">
      <c r="A103" s="4" t="s">
        <v>312</v>
      </c>
      <c r="B103" s="4" t="s">
        <v>313</v>
      </c>
      <c r="C103" s="5" t="s">
        <v>314</v>
      </c>
      <c r="D103" s="34" t="s">
        <v>21</v>
      </c>
      <c r="E103" s="34" t="s">
        <v>315</v>
      </c>
      <c r="F103" s="34">
        <f>E103*E98</f>
        <v>5.0111999999999995E-3</v>
      </c>
    </row>
    <row r="104" spans="1:7" ht="33.75" x14ac:dyDescent="0.25">
      <c r="A104" s="4" t="s">
        <v>317</v>
      </c>
      <c r="B104" s="4" t="s">
        <v>318</v>
      </c>
      <c r="C104" s="5" t="s">
        <v>319</v>
      </c>
      <c r="D104" s="34" t="s">
        <v>21</v>
      </c>
      <c r="E104" s="34" t="s">
        <v>320</v>
      </c>
      <c r="F104" s="34">
        <f>E104*E98</f>
        <v>9.6047999999999994E-2</v>
      </c>
    </row>
    <row r="105" spans="1:7" x14ac:dyDescent="0.25">
      <c r="A105" s="4" t="s">
        <v>322</v>
      </c>
      <c r="B105" s="4" t="s">
        <v>323</v>
      </c>
      <c r="C105" s="5" t="s">
        <v>324</v>
      </c>
      <c r="D105" s="34" t="s">
        <v>21</v>
      </c>
      <c r="E105" s="34" t="s">
        <v>325</v>
      </c>
      <c r="F105" s="34">
        <f>E105*E98</f>
        <v>0.22299839999999999</v>
      </c>
    </row>
    <row r="106" spans="1:7" x14ac:dyDescent="0.25">
      <c r="A106" s="4" t="s">
        <v>327</v>
      </c>
      <c r="B106" s="4" t="s">
        <v>328</v>
      </c>
      <c r="C106" s="5" t="s">
        <v>329</v>
      </c>
      <c r="D106" s="34" t="s">
        <v>21</v>
      </c>
      <c r="E106" s="34" t="s">
        <v>330</v>
      </c>
      <c r="F106" s="34">
        <f>E106*E98</f>
        <v>2.9753999999999999E-2</v>
      </c>
    </row>
    <row r="107" spans="1:7" ht="22.5" x14ac:dyDescent="0.25">
      <c r="A107" s="4" t="s">
        <v>332</v>
      </c>
      <c r="B107" s="4" t="s">
        <v>239</v>
      </c>
      <c r="C107" s="5" t="s">
        <v>190</v>
      </c>
      <c r="D107" s="34" t="s">
        <v>21</v>
      </c>
      <c r="E107" s="34" t="s">
        <v>12</v>
      </c>
      <c r="F107" s="34">
        <f>E107*E98</f>
        <v>1.5033599999999999E-2</v>
      </c>
    </row>
    <row r="108" spans="1:7" ht="22.5" x14ac:dyDescent="0.25">
      <c r="A108" s="4" t="s">
        <v>334</v>
      </c>
      <c r="B108" s="4" t="s">
        <v>335</v>
      </c>
      <c r="C108" s="5" t="s">
        <v>336</v>
      </c>
      <c r="D108" s="34" t="s">
        <v>54</v>
      </c>
      <c r="E108" s="34" t="s">
        <v>337</v>
      </c>
      <c r="F108" s="34">
        <f>E108*E98</f>
        <v>1.05966</v>
      </c>
      <c r="G108" s="52">
        <f>+G1</f>
        <v>0</v>
      </c>
    </row>
    <row r="109" spans="1:7" ht="22.5" x14ac:dyDescent="0.25">
      <c r="A109" s="4" t="s">
        <v>339</v>
      </c>
      <c r="B109" s="4" t="s">
        <v>340</v>
      </c>
      <c r="C109" s="5" t="s">
        <v>341</v>
      </c>
      <c r="D109" s="34" t="s">
        <v>54</v>
      </c>
      <c r="E109" s="34" t="s">
        <v>342</v>
      </c>
      <c r="F109" s="34">
        <f>E109*E98</f>
        <v>7.2035999999999992E-3</v>
      </c>
    </row>
    <row r="110" spans="1:7" ht="22.5" x14ac:dyDescent="0.25">
      <c r="A110" s="4" t="s">
        <v>344</v>
      </c>
      <c r="B110" s="4" t="s">
        <v>246</v>
      </c>
      <c r="C110" s="5" t="s">
        <v>194</v>
      </c>
      <c r="D110" s="34" t="s">
        <v>54</v>
      </c>
      <c r="E110" s="34" t="s">
        <v>270</v>
      </c>
      <c r="F110" s="34">
        <f>E110*E98</f>
        <v>0.20879999999999999</v>
      </c>
    </row>
    <row r="111" spans="1:7" ht="22.5" x14ac:dyDescent="0.25">
      <c r="A111" s="4" t="s">
        <v>346</v>
      </c>
      <c r="B111" s="4" t="s">
        <v>249</v>
      </c>
      <c r="C111" s="5" t="s">
        <v>250</v>
      </c>
      <c r="D111" s="34" t="s">
        <v>60</v>
      </c>
      <c r="E111" s="34" t="s">
        <v>347</v>
      </c>
      <c r="F111" s="34">
        <f>E111*E98</f>
        <v>5.2200000000000002E-5</v>
      </c>
    </row>
    <row r="112" spans="1:7" ht="22.5" x14ac:dyDescent="0.25">
      <c r="A112" s="4" t="s">
        <v>349</v>
      </c>
      <c r="B112" s="4" t="s">
        <v>350</v>
      </c>
      <c r="C112" s="5" t="s">
        <v>351</v>
      </c>
      <c r="D112" s="34" t="s">
        <v>60</v>
      </c>
      <c r="E112" s="34" t="s">
        <v>352</v>
      </c>
      <c r="F112" s="34">
        <f>E112*E98</f>
        <v>5.5331999999999998E-5</v>
      </c>
    </row>
    <row r="113" spans="1:6" ht="33.75" x14ac:dyDescent="0.25">
      <c r="A113" s="4" t="s">
        <v>354</v>
      </c>
      <c r="B113" s="4" t="s">
        <v>355</v>
      </c>
      <c r="C113" s="5" t="s">
        <v>356</v>
      </c>
      <c r="D113" s="34" t="s">
        <v>54</v>
      </c>
      <c r="E113" s="34" t="s">
        <v>78</v>
      </c>
      <c r="F113" s="34">
        <f>E113*E98</f>
        <v>2.088E-3</v>
      </c>
    </row>
    <row r="114" spans="1:6" ht="22.5" x14ac:dyDescent="0.25">
      <c r="A114" s="4" t="s">
        <v>358</v>
      </c>
      <c r="B114" s="4" t="s">
        <v>359</v>
      </c>
      <c r="C114" s="5" t="s">
        <v>360</v>
      </c>
      <c r="D114" s="34" t="s">
        <v>361</v>
      </c>
      <c r="E114" s="34" t="s">
        <v>362</v>
      </c>
      <c r="F114" s="34">
        <f>E114*E98</f>
        <v>5.5540800000000001E-2</v>
      </c>
    </row>
    <row r="115" spans="1:6" ht="22.5" x14ac:dyDescent="0.25">
      <c r="A115" s="4" t="s">
        <v>364</v>
      </c>
      <c r="B115" s="4" t="s">
        <v>365</v>
      </c>
      <c r="C115" s="5" t="s">
        <v>366</v>
      </c>
      <c r="D115" s="34" t="s">
        <v>367</v>
      </c>
      <c r="E115" s="34" t="s">
        <v>368</v>
      </c>
      <c r="F115" s="34">
        <f>E115*E98</f>
        <v>0.19522799999999998</v>
      </c>
    </row>
    <row r="116" spans="1:6" ht="33.75" x14ac:dyDescent="0.25">
      <c r="A116" s="2" t="s">
        <v>370</v>
      </c>
      <c r="B116" s="2" t="s">
        <v>371</v>
      </c>
      <c r="C116" s="3" t="s">
        <v>372</v>
      </c>
      <c r="D116" s="86" t="s">
        <v>107</v>
      </c>
      <c r="E116" s="116" t="s">
        <v>373</v>
      </c>
      <c r="F116" s="116"/>
    </row>
    <row r="117" spans="1:6" x14ac:dyDescent="0.25">
      <c r="A117" s="4" t="s">
        <v>374</v>
      </c>
      <c r="B117" s="4" t="s">
        <v>34</v>
      </c>
      <c r="C117" s="5" t="s">
        <v>35</v>
      </c>
      <c r="D117" s="34" t="s">
        <v>16</v>
      </c>
      <c r="E117" s="34" t="s">
        <v>375</v>
      </c>
      <c r="F117" s="34">
        <f>E117*E116</f>
        <v>90.072000000000003</v>
      </c>
    </row>
    <row r="118" spans="1:6" x14ac:dyDescent="0.25">
      <c r="A118" s="4" t="s">
        <v>377</v>
      </c>
      <c r="B118" s="4" t="s">
        <v>14</v>
      </c>
      <c r="C118" s="5" t="s">
        <v>15</v>
      </c>
      <c r="D118" s="34" t="s">
        <v>16</v>
      </c>
      <c r="E118" s="34" t="s">
        <v>378</v>
      </c>
      <c r="F118" s="34">
        <f>E118*E116</f>
        <v>15.574680000000001</v>
      </c>
    </row>
    <row r="119" spans="1:6" ht="33.75" x14ac:dyDescent="0.25">
      <c r="A119" s="4" t="s">
        <v>380</v>
      </c>
      <c r="B119" s="4" t="s">
        <v>381</v>
      </c>
      <c r="C119" s="5" t="s">
        <v>382</v>
      </c>
      <c r="D119" s="34" t="s">
        <v>21</v>
      </c>
      <c r="E119" s="34" t="s">
        <v>221</v>
      </c>
      <c r="F119" s="34">
        <f>E119*E116</f>
        <v>1.728</v>
      </c>
    </row>
    <row r="120" spans="1:6" ht="33.75" x14ac:dyDescent="0.25">
      <c r="A120" s="4" t="s">
        <v>384</v>
      </c>
      <c r="B120" s="4" t="s">
        <v>313</v>
      </c>
      <c r="C120" s="5" t="s">
        <v>314</v>
      </c>
      <c r="D120" s="34" t="s">
        <v>21</v>
      </c>
      <c r="E120" s="34" t="s">
        <v>385</v>
      </c>
      <c r="F120" s="34">
        <f>E120*E116</f>
        <v>0.35639999999999999</v>
      </c>
    </row>
    <row r="121" spans="1:6" ht="33.75" x14ac:dyDescent="0.25">
      <c r="A121" s="4" t="s">
        <v>387</v>
      </c>
      <c r="B121" s="4" t="s">
        <v>318</v>
      </c>
      <c r="C121" s="5" t="s">
        <v>319</v>
      </c>
      <c r="D121" s="34" t="s">
        <v>21</v>
      </c>
      <c r="E121" s="34" t="s">
        <v>388</v>
      </c>
      <c r="F121" s="34">
        <f>E121*E116</f>
        <v>14.155559999999999</v>
      </c>
    </row>
    <row r="122" spans="1:6" ht="22.5" x14ac:dyDescent="0.25">
      <c r="A122" s="4" t="s">
        <v>390</v>
      </c>
      <c r="B122" s="4" t="s">
        <v>239</v>
      </c>
      <c r="C122" s="5" t="s">
        <v>190</v>
      </c>
      <c r="D122" s="34" t="s">
        <v>21</v>
      </c>
      <c r="E122" s="34" t="s">
        <v>391</v>
      </c>
      <c r="F122" s="34">
        <f>E122*E116</f>
        <v>1.0627199999999999</v>
      </c>
    </row>
    <row r="123" spans="1:6" ht="22.5" x14ac:dyDescent="0.25">
      <c r="A123" s="4" t="s">
        <v>393</v>
      </c>
      <c r="B123" s="4" t="s">
        <v>340</v>
      </c>
      <c r="C123" s="5" t="s">
        <v>341</v>
      </c>
      <c r="D123" s="34" t="s">
        <v>54</v>
      </c>
      <c r="E123" s="34" t="s">
        <v>394</v>
      </c>
      <c r="F123" s="34">
        <f>E123*E116</f>
        <v>0.52271999999999996</v>
      </c>
    </row>
    <row r="124" spans="1:6" x14ac:dyDescent="0.25">
      <c r="A124" s="4" t="s">
        <v>396</v>
      </c>
      <c r="B124" s="4" t="s">
        <v>249</v>
      </c>
      <c r="C124" s="5" t="s">
        <v>250</v>
      </c>
      <c r="D124" s="34" t="s">
        <v>60</v>
      </c>
      <c r="E124" s="34" t="s">
        <v>397</v>
      </c>
      <c r="F124" s="34">
        <f>E124*E116</f>
        <v>6.8040000000000002E-3</v>
      </c>
    </row>
    <row r="125" spans="1:6" x14ac:dyDescent="0.25">
      <c r="A125" s="4" t="s">
        <v>399</v>
      </c>
      <c r="B125" s="4" t="s">
        <v>400</v>
      </c>
      <c r="C125" s="5" t="s">
        <v>401</v>
      </c>
      <c r="D125" s="34" t="s">
        <v>60</v>
      </c>
      <c r="E125" s="34" t="s">
        <v>97</v>
      </c>
      <c r="F125" s="34">
        <f>E125*E116</f>
        <v>1.2959999999999999E-2</v>
      </c>
    </row>
    <row r="126" spans="1:6" ht="22.5" x14ac:dyDescent="0.25">
      <c r="A126" s="4" t="s">
        <v>403</v>
      </c>
      <c r="B126" s="4" t="s">
        <v>404</v>
      </c>
      <c r="C126" s="5" t="s">
        <v>405</v>
      </c>
      <c r="D126" s="34" t="s">
        <v>60</v>
      </c>
      <c r="E126" s="34" t="s">
        <v>406</v>
      </c>
      <c r="F126" s="34">
        <f>E126*E116</f>
        <v>8.6399999999999997E-4</v>
      </c>
    </row>
    <row r="127" spans="1:6" ht="33.75" x14ac:dyDescent="0.25">
      <c r="A127" s="4" t="s">
        <v>408</v>
      </c>
      <c r="B127" s="4" t="s">
        <v>409</v>
      </c>
      <c r="C127" s="5" t="s">
        <v>410</v>
      </c>
      <c r="D127" s="34" t="s">
        <v>54</v>
      </c>
      <c r="E127" s="34" t="s">
        <v>411</v>
      </c>
      <c r="F127" s="34">
        <f>E127*E116</f>
        <v>0.62531999999999999</v>
      </c>
    </row>
    <row r="128" spans="1:6" ht="33.75" x14ac:dyDescent="0.25">
      <c r="A128" s="4" t="s">
        <v>413</v>
      </c>
      <c r="B128" s="4" t="s">
        <v>414</v>
      </c>
      <c r="C128" s="5" t="s">
        <v>415</v>
      </c>
      <c r="D128" s="34" t="s">
        <v>54</v>
      </c>
      <c r="E128" s="34" t="s">
        <v>120</v>
      </c>
      <c r="F128" s="34">
        <f>E128*E116</f>
        <v>2.5919999999999999E-2</v>
      </c>
    </row>
    <row r="129" spans="1:6" ht="22.5" x14ac:dyDescent="0.25">
      <c r="A129" s="4" t="s">
        <v>417</v>
      </c>
      <c r="B129" s="4" t="s">
        <v>418</v>
      </c>
      <c r="C129" s="5" t="s">
        <v>419</v>
      </c>
      <c r="D129" s="34" t="s">
        <v>60</v>
      </c>
      <c r="E129" s="34" t="s">
        <v>420</v>
      </c>
      <c r="F129" s="34">
        <f>E129*E116</f>
        <v>1.9439999999999998E-3</v>
      </c>
    </row>
    <row r="130" spans="1:6" ht="22.5" x14ac:dyDescent="0.25">
      <c r="A130" s="4" t="s">
        <v>422</v>
      </c>
      <c r="B130" s="4" t="s">
        <v>423</v>
      </c>
      <c r="C130" s="5" t="s">
        <v>424</v>
      </c>
      <c r="D130" s="34" t="s">
        <v>60</v>
      </c>
      <c r="E130" s="34" t="s">
        <v>425</v>
      </c>
      <c r="F130" s="34">
        <f>E130*E116</f>
        <v>7.6679999999999998E-2</v>
      </c>
    </row>
    <row r="131" spans="1:6" ht="33.75" x14ac:dyDescent="0.25">
      <c r="A131" s="2" t="s">
        <v>427</v>
      </c>
      <c r="B131" s="2" t="s">
        <v>428</v>
      </c>
      <c r="C131" s="3" t="s">
        <v>429</v>
      </c>
      <c r="D131" s="86" t="s">
        <v>54</v>
      </c>
      <c r="E131" s="116" t="s">
        <v>430</v>
      </c>
      <c r="F131" s="116"/>
    </row>
    <row r="132" spans="1:6" ht="33.75" x14ac:dyDescent="0.25">
      <c r="A132" s="2" t="s">
        <v>431</v>
      </c>
      <c r="B132" s="2" t="s">
        <v>432</v>
      </c>
      <c r="C132" s="3" t="s">
        <v>433</v>
      </c>
      <c r="D132" s="86" t="s">
        <v>54</v>
      </c>
      <c r="E132" s="116" t="s">
        <v>434</v>
      </c>
      <c r="F132" s="116"/>
    </row>
    <row r="133" spans="1:6" ht="33.75" x14ac:dyDescent="0.25">
      <c r="A133" s="2" t="s">
        <v>435</v>
      </c>
      <c r="B133" s="2" t="s">
        <v>436</v>
      </c>
      <c r="C133" s="3" t="s">
        <v>437</v>
      </c>
      <c r="D133" s="86" t="s">
        <v>54</v>
      </c>
      <c r="E133" s="116" t="s">
        <v>438</v>
      </c>
      <c r="F133" s="116"/>
    </row>
    <row r="134" spans="1:6" ht="22.5" x14ac:dyDescent="0.25">
      <c r="A134" s="2" t="s">
        <v>439</v>
      </c>
      <c r="B134" s="2" t="s">
        <v>440</v>
      </c>
      <c r="C134" s="3" t="s">
        <v>441</v>
      </c>
      <c r="D134" s="86" t="s">
        <v>107</v>
      </c>
      <c r="E134" s="116" t="s">
        <v>442</v>
      </c>
      <c r="F134" s="116"/>
    </row>
    <row r="135" spans="1:6" x14ac:dyDescent="0.25">
      <c r="A135" s="4" t="s">
        <v>443</v>
      </c>
      <c r="B135" s="4" t="s">
        <v>34</v>
      </c>
      <c r="C135" s="5" t="s">
        <v>35</v>
      </c>
      <c r="D135" s="34" t="s">
        <v>16</v>
      </c>
      <c r="E135" s="34" t="s">
        <v>444</v>
      </c>
      <c r="F135" s="34">
        <f>E135*E134</f>
        <v>4.032</v>
      </c>
    </row>
    <row r="136" spans="1:6" x14ac:dyDescent="0.25">
      <c r="A136" s="4" t="s">
        <v>446</v>
      </c>
      <c r="B136" s="4" t="s">
        <v>14</v>
      </c>
      <c r="C136" s="5" t="s">
        <v>15</v>
      </c>
      <c r="D136" s="34" t="s">
        <v>16</v>
      </c>
      <c r="E136" s="34" t="s">
        <v>447</v>
      </c>
      <c r="F136" s="34">
        <f>E136*E134</f>
        <v>0.90359999999999996</v>
      </c>
    </row>
    <row r="137" spans="1:6" ht="33.75" x14ac:dyDescent="0.25">
      <c r="A137" s="4" t="s">
        <v>449</v>
      </c>
      <c r="B137" s="4" t="s">
        <v>313</v>
      </c>
      <c r="C137" s="5" t="s">
        <v>314</v>
      </c>
      <c r="D137" s="34" t="s">
        <v>21</v>
      </c>
      <c r="E137" s="34" t="s">
        <v>450</v>
      </c>
      <c r="F137" s="34">
        <f>E137*E134</f>
        <v>3.0960000000000001E-2</v>
      </c>
    </row>
    <row r="138" spans="1:6" ht="33.75" x14ac:dyDescent="0.25">
      <c r="A138" s="4" t="s">
        <v>452</v>
      </c>
      <c r="B138" s="4" t="s">
        <v>318</v>
      </c>
      <c r="C138" s="5" t="s">
        <v>319</v>
      </c>
      <c r="D138" s="34" t="s">
        <v>21</v>
      </c>
      <c r="E138" s="34" t="s">
        <v>453</v>
      </c>
      <c r="F138" s="34">
        <f>E138*E134</f>
        <v>0.77880000000000005</v>
      </c>
    </row>
    <row r="139" spans="1:6" ht="22.5" x14ac:dyDescent="0.25">
      <c r="A139" s="4" t="s">
        <v>455</v>
      </c>
      <c r="B139" s="4" t="s">
        <v>239</v>
      </c>
      <c r="C139" s="5" t="s">
        <v>190</v>
      </c>
      <c r="D139" s="34" t="s">
        <v>21</v>
      </c>
      <c r="E139" s="34" t="s">
        <v>219</v>
      </c>
      <c r="F139" s="34">
        <f>E139*E134</f>
        <v>9.3600000000000003E-2</v>
      </c>
    </row>
    <row r="140" spans="1:6" ht="22.5" x14ac:dyDescent="0.25">
      <c r="A140" s="4" t="s">
        <v>457</v>
      </c>
      <c r="B140" s="4" t="s">
        <v>340</v>
      </c>
      <c r="C140" s="5" t="s">
        <v>341</v>
      </c>
      <c r="D140" s="34" t="s">
        <v>54</v>
      </c>
      <c r="E140" s="34" t="s">
        <v>458</v>
      </c>
      <c r="F140" s="34">
        <f>E140*E134</f>
        <v>5.2199999999999996E-2</v>
      </c>
    </row>
    <row r="141" spans="1:6" ht="22.5" x14ac:dyDescent="0.25">
      <c r="A141" s="2" t="s">
        <v>460</v>
      </c>
      <c r="B141" s="2" t="s">
        <v>461</v>
      </c>
      <c r="C141" s="3" t="s">
        <v>462</v>
      </c>
      <c r="D141" s="86" t="s">
        <v>54</v>
      </c>
      <c r="E141" s="116" t="s">
        <v>463</v>
      </c>
      <c r="F141" s="116"/>
    </row>
    <row r="142" spans="1:6" x14ac:dyDescent="0.25">
      <c r="A142" s="2" t="s">
        <v>464</v>
      </c>
      <c r="B142" s="2" t="s">
        <v>465</v>
      </c>
      <c r="C142" s="3" t="s">
        <v>466</v>
      </c>
      <c r="D142" s="86" t="s">
        <v>164</v>
      </c>
      <c r="E142" s="116" t="s">
        <v>80</v>
      </c>
      <c r="F142" s="116"/>
    </row>
    <row r="143" spans="1:6" x14ac:dyDescent="0.25">
      <c r="A143" s="4" t="s">
        <v>467</v>
      </c>
      <c r="B143" s="4" t="s">
        <v>34</v>
      </c>
      <c r="C143" s="5" t="s">
        <v>35</v>
      </c>
      <c r="D143" s="34" t="s">
        <v>16</v>
      </c>
      <c r="E143" s="34" t="s">
        <v>468</v>
      </c>
      <c r="F143" s="34">
        <f>E143*E142</f>
        <v>7.86</v>
      </c>
    </row>
    <row r="144" spans="1:6" x14ac:dyDescent="0.25">
      <c r="A144" s="4" t="s">
        <v>470</v>
      </c>
      <c r="B144" s="4" t="s">
        <v>14</v>
      </c>
      <c r="C144" s="5" t="s">
        <v>15</v>
      </c>
      <c r="D144" s="34" t="s">
        <v>16</v>
      </c>
      <c r="E144" s="34" t="s">
        <v>471</v>
      </c>
      <c r="F144" s="34">
        <f>E144*E142</f>
        <v>0.42000000000000004</v>
      </c>
    </row>
    <row r="145" spans="1:6" ht="22.5" x14ac:dyDescent="0.25">
      <c r="A145" s="4" t="s">
        <v>473</v>
      </c>
      <c r="B145" s="4" t="s">
        <v>189</v>
      </c>
      <c r="C145" s="5" t="s">
        <v>190</v>
      </c>
      <c r="D145" s="34" t="s">
        <v>21</v>
      </c>
      <c r="E145" s="34" t="s">
        <v>471</v>
      </c>
      <c r="F145" s="34">
        <f>E145*E142</f>
        <v>0.42000000000000004</v>
      </c>
    </row>
    <row r="146" spans="1:6" x14ac:dyDescent="0.25">
      <c r="A146" s="4" t="s">
        <v>474</v>
      </c>
      <c r="B146" s="4" t="s">
        <v>475</v>
      </c>
      <c r="C146" s="5" t="s">
        <v>476</v>
      </c>
      <c r="D146" s="34" t="s">
        <v>54</v>
      </c>
      <c r="E146" s="34" t="s">
        <v>477</v>
      </c>
      <c r="F146" s="34">
        <f>E146*E142</f>
        <v>4.8000000000000004E-3</v>
      </c>
    </row>
    <row r="147" spans="1:6" x14ac:dyDescent="0.25">
      <c r="A147" s="4" t="s">
        <v>479</v>
      </c>
      <c r="B147" s="4" t="s">
        <v>480</v>
      </c>
      <c r="C147" s="5" t="s">
        <v>481</v>
      </c>
      <c r="D147" s="34" t="s">
        <v>164</v>
      </c>
      <c r="E147" s="34" t="s">
        <v>8</v>
      </c>
      <c r="F147" s="34">
        <f>E147*E142</f>
        <v>6</v>
      </c>
    </row>
    <row r="148" spans="1:6" ht="22.5" x14ac:dyDescent="0.25">
      <c r="A148" s="2" t="s">
        <v>482</v>
      </c>
      <c r="B148" s="2" t="s">
        <v>483</v>
      </c>
      <c r="C148" s="3" t="s">
        <v>484</v>
      </c>
      <c r="D148" s="86" t="s">
        <v>60</v>
      </c>
      <c r="E148" s="116" t="s">
        <v>485</v>
      </c>
      <c r="F148" s="116"/>
    </row>
    <row r="149" spans="1:6" x14ac:dyDescent="0.25">
      <c r="A149" s="4" t="s">
        <v>486</v>
      </c>
      <c r="B149" s="4" t="s">
        <v>34</v>
      </c>
      <c r="C149" s="5" t="s">
        <v>35</v>
      </c>
      <c r="D149" s="34" t="s">
        <v>16</v>
      </c>
      <c r="E149" s="34" t="s">
        <v>487</v>
      </c>
      <c r="F149" s="34">
        <f>E149*E148</f>
        <v>3.7527300000000001</v>
      </c>
    </row>
    <row r="150" spans="1:6" x14ac:dyDescent="0.25">
      <c r="A150" s="4" t="s">
        <v>489</v>
      </c>
      <c r="B150" s="4" t="s">
        <v>14</v>
      </c>
      <c r="C150" s="5" t="s">
        <v>15</v>
      </c>
      <c r="D150" s="34" t="s">
        <v>16</v>
      </c>
      <c r="E150" s="34" t="s">
        <v>490</v>
      </c>
      <c r="F150" s="34">
        <f>E150*E148</f>
        <v>0.35477999999999998</v>
      </c>
    </row>
    <row r="151" spans="1:6" ht="33.75" x14ac:dyDescent="0.25">
      <c r="A151" s="4" t="s">
        <v>492</v>
      </c>
      <c r="B151" s="4" t="s">
        <v>313</v>
      </c>
      <c r="C151" s="5" t="s">
        <v>314</v>
      </c>
      <c r="D151" s="34" t="s">
        <v>21</v>
      </c>
      <c r="E151" s="34" t="s">
        <v>493</v>
      </c>
      <c r="F151" s="34">
        <f>E151*E148</f>
        <v>0.14175000000000001</v>
      </c>
    </row>
    <row r="152" spans="1:6" ht="22.5" x14ac:dyDescent="0.25">
      <c r="A152" s="4" t="s">
        <v>495</v>
      </c>
      <c r="B152" s="4" t="s">
        <v>496</v>
      </c>
      <c r="C152" s="5" t="s">
        <v>497</v>
      </c>
      <c r="D152" s="34" t="s">
        <v>21</v>
      </c>
      <c r="E152" s="34" t="s">
        <v>498</v>
      </c>
      <c r="F152" s="34">
        <f>E152*E148</f>
        <v>0.71442000000000005</v>
      </c>
    </row>
    <row r="153" spans="1:6" ht="22.5" x14ac:dyDescent="0.25">
      <c r="A153" s="4" t="s">
        <v>500</v>
      </c>
      <c r="B153" s="4" t="s">
        <v>239</v>
      </c>
      <c r="C153" s="5" t="s">
        <v>190</v>
      </c>
      <c r="D153" s="34" t="s">
        <v>21</v>
      </c>
      <c r="E153" s="34" t="s">
        <v>501</v>
      </c>
      <c r="F153" s="34">
        <f>E153*E148</f>
        <v>0.21303</v>
      </c>
    </row>
    <row r="154" spans="1:6" ht="22.5" x14ac:dyDescent="0.25">
      <c r="A154" s="4" t="s">
        <v>503</v>
      </c>
      <c r="B154" s="4" t="s">
        <v>504</v>
      </c>
      <c r="C154" s="5" t="s">
        <v>505</v>
      </c>
      <c r="D154" s="34" t="s">
        <v>60</v>
      </c>
      <c r="E154" s="34" t="s">
        <v>8</v>
      </c>
      <c r="F154" s="34">
        <f>E154*E148</f>
        <v>8.1000000000000003E-2</v>
      </c>
    </row>
    <row r="155" spans="1:6" x14ac:dyDescent="0.25">
      <c r="A155" s="4" t="s">
        <v>506</v>
      </c>
      <c r="B155" s="4" t="s">
        <v>404</v>
      </c>
      <c r="C155" s="5" t="s">
        <v>405</v>
      </c>
      <c r="D155" s="34" t="s">
        <v>60</v>
      </c>
      <c r="E155" s="34" t="s">
        <v>507</v>
      </c>
      <c r="F155" s="34">
        <f>E155*E148</f>
        <v>5.6700000000000001E-4</v>
      </c>
    </row>
    <row r="156" spans="1:6" ht="33.75" x14ac:dyDescent="0.25">
      <c r="A156" s="2" t="s">
        <v>509</v>
      </c>
      <c r="B156" s="2" t="s">
        <v>510</v>
      </c>
      <c r="C156" s="3" t="s">
        <v>511</v>
      </c>
      <c r="D156" s="86" t="s">
        <v>512</v>
      </c>
      <c r="E156" s="116" t="s">
        <v>513</v>
      </c>
      <c r="F156" s="116"/>
    </row>
    <row r="157" spans="1:6" x14ac:dyDescent="0.25">
      <c r="A157" s="4" t="s">
        <v>514</v>
      </c>
      <c r="B157" s="4" t="s">
        <v>34</v>
      </c>
      <c r="C157" s="5" t="s">
        <v>35</v>
      </c>
      <c r="D157" s="34" t="s">
        <v>16</v>
      </c>
      <c r="E157" s="34" t="s">
        <v>515</v>
      </c>
      <c r="F157" s="34">
        <f>E157*E156</f>
        <v>80.400000000000006</v>
      </c>
    </row>
    <row r="158" spans="1:6" x14ac:dyDescent="0.25">
      <c r="A158" s="4" t="s">
        <v>517</v>
      </c>
      <c r="B158" s="4" t="s">
        <v>518</v>
      </c>
      <c r="C158" s="5" t="s">
        <v>519</v>
      </c>
      <c r="D158" s="34" t="s">
        <v>21</v>
      </c>
      <c r="E158" s="34" t="s">
        <v>520</v>
      </c>
      <c r="F158" s="34">
        <f>E158*E156</f>
        <v>0.24</v>
      </c>
    </row>
    <row r="159" spans="1:6" x14ac:dyDescent="0.25">
      <c r="A159" s="4" t="s">
        <v>521</v>
      </c>
      <c r="B159" s="4" t="s">
        <v>522</v>
      </c>
      <c r="C159" s="5" t="s">
        <v>523</v>
      </c>
      <c r="D159" s="34" t="s">
        <v>524</v>
      </c>
      <c r="E159" s="34" t="s">
        <v>525</v>
      </c>
      <c r="F159" s="34">
        <f>E159*E156</f>
        <v>0.44999999999999996</v>
      </c>
    </row>
    <row r="160" spans="1:6" x14ac:dyDescent="0.25">
      <c r="A160" s="2" t="s">
        <v>527</v>
      </c>
      <c r="B160" s="2" t="s">
        <v>528</v>
      </c>
      <c r="C160" s="3" t="s">
        <v>529</v>
      </c>
      <c r="D160" s="86" t="s">
        <v>530</v>
      </c>
      <c r="E160" s="116" t="s">
        <v>531</v>
      </c>
      <c r="F160" s="116"/>
    </row>
    <row r="161" spans="1:6" x14ac:dyDescent="0.25">
      <c r="A161" s="4" t="s">
        <v>532</v>
      </c>
      <c r="B161" s="4" t="s">
        <v>34</v>
      </c>
      <c r="C161" s="5" t="s">
        <v>35</v>
      </c>
      <c r="D161" s="34" t="s">
        <v>16</v>
      </c>
      <c r="E161" s="34" t="s">
        <v>533</v>
      </c>
      <c r="F161" s="34">
        <f>E161*E160</f>
        <v>0.1734</v>
      </c>
    </row>
    <row r="162" spans="1:6" x14ac:dyDescent="0.25">
      <c r="A162" s="4" t="s">
        <v>535</v>
      </c>
      <c r="B162" s="4" t="s">
        <v>14</v>
      </c>
      <c r="C162" s="5" t="s">
        <v>15</v>
      </c>
      <c r="D162" s="34" t="s">
        <v>16</v>
      </c>
      <c r="E162" s="34" t="s">
        <v>536</v>
      </c>
      <c r="F162" s="34">
        <f>E162*E160</f>
        <v>9.2699999999999991E-2</v>
      </c>
    </row>
    <row r="163" spans="1:6" ht="22.5" x14ac:dyDescent="0.25">
      <c r="A163" s="4" t="s">
        <v>538</v>
      </c>
      <c r="B163" s="4" t="s">
        <v>539</v>
      </c>
      <c r="C163" s="5" t="s">
        <v>540</v>
      </c>
      <c r="D163" s="34" t="s">
        <v>21</v>
      </c>
      <c r="E163" s="34" t="s">
        <v>541</v>
      </c>
      <c r="F163" s="34">
        <f>E163*E160</f>
        <v>9.9000000000000008E-3</v>
      </c>
    </row>
    <row r="164" spans="1:6" x14ac:dyDescent="0.25">
      <c r="A164" s="4" t="s">
        <v>543</v>
      </c>
      <c r="B164" s="4" t="s">
        <v>544</v>
      </c>
      <c r="C164" s="5" t="s">
        <v>545</v>
      </c>
      <c r="D164" s="34" t="s">
        <v>21</v>
      </c>
      <c r="E164" s="34" t="s">
        <v>546</v>
      </c>
      <c r="F164" s="34">
        <f>E164*E160</f>
        <v>5.3999999999999999E-2</v>
      </c>
    </row>
    <row r="165" spans="1:6" x14ac:dyDescent="0.25">
      <c r="A165" s="4" t="s">
        <v>548</v>
      </c>
      <c r="B165" s="4" t="s">
        <v>549</v>
      </c>
      <c r="C165" s="5" t="s">
        <v>550</v>
      </c>
      <c r="D165" s="34" t="s">
        <v>21</v>
      </c>
      <c r="E165" s="34" t="s">
        <v>551</v>
      </c>
      <c r="F165" s="34">
        <f>E165*E160</f>
        <v>6.7799999999999985E-2</v>
      </c>
    </row>
    <row r="166" spans="1:6" ht="22.5" x14ac:dyDescent="0.25">
      <c r="A166" s="4" t="s">
        <v>553</v>
      </c>
      <c r="B166" s="4" t="s">
        <v>239</v>
      </c>
      <c r="C166" s="5" t="s">
        <v>190</v>
      </c>
      <c r="D166" s="34" t="s">
        <v>21</v>
      </c>
      <c r="E166" s="34" t="s">
        <v>554</v>
      </c>
      <c r="F166" s="34">
        <f>E166*E160</f>
        <v>1.4999999999999999E-2</v>
      </c>
    </row>
    <row r="167" spans="1:6" ht="22.5" x14ac:dyDescent="0.25">
      <c r="A167" s="4" t="s">
        <v>556</v>
      </c>
      <c r="B167" s="4" t="s">
        <v>557</v>
      </c>
      <c r="C167" s="5" t="s">
        <v>558</v>
      </c>
      <c r="D167" s="34" t="s">
        <v>60</v>
      </c>
      <c r="E167" s="34" t="s">
        <v>559</v>
      </c>
      <c r="F167" s="34">
        <f>E167*E160</f>
        <v>9.5999999999999992E-3</v>
      </c>
    </row>
    <row r="168" spans="1:6" x14ac:dyDescent="0.25">
      <c r="A168" s="4" t="s">
        <v>561</v>
      </c>
      <c r="B168" s="4" t="s">
        <v>562</v>
      </c>
      <c r="C168" s="5" t="s">
        <v>563</v>
      </c>
      <c r="D168" s="34" t="s">
        <v>60</v>
      </c>
      <c r="E168" s="34" t="s">
        <v>564</v>
      </c>
      <c r="F168" s="34">
        <f>E168*E160</f>
        <v>2.1599999999999998E-2</v>
      </c>
    </row>
    <row r="169" spans="1:6" x14ac:dyDescent="0.25">
      <c r="A169" s="2" t="s">
        <v>566</v>
      </c>
      <c r="B169" s="2" t="s">
        <v>567</v>
      </c>
      <c r="C169" s="3" t="s">
        <v>568</v>
      </c>
      <c r="D169" s="86" t="s">
        <v>530</v>
      </c>
      <c r="E169" s="116" t="s">
        <v>569</v>
      </c>
      <c r="F169" s="116"/>
    </row>
    <row r="170" spans="1:6" x14ac:dyDescent="0.25">
      <c r="A170" s="4" t="s">
        <v>570</v>
      </c>
      <c r="B170" s="4" t="s">
        <v>34</v>
      </c>
      <c r="C170" s="5" t="s">
        <v>35</v>
      </c>
      <c r="D170" s="34" t="s">
        <v>16</v>
      </c>
      <c r="E170" s="34" t="s">
        <v>571</v>
      </c>
      <c r="F170" s="34">
        <f>E170*E169</f>
        <v>5.0313000000000008</v>
      </c>
    </row>
    <row r="171" spans="1:6" x14ac:dyDescent="0.25">
      <c r="A171" s="4" t="s">
        <v>573</v>
      </c>
      <c r="B171" s="4" t="s">
        <v>14</v>
      </c>
      <c r="C171" s="5" t="s">
        <v>15</v>
      </c>
      <c r="D171" s="34" t="s">
        <v>16</v>
      </c>
      <c r="E171" s="34" t="s">
        <v>574</v>
      </c>
      <c r="F171" s="34">
        <f>E171*E169</f>
        <v>1.3206</v>
      </c>
    </row>
    <row r="172" spans="1:6" ht="22.5" x14ac:dyDescent="0.25">
      <c r="A172" s="4" t="s">
        <v>576</v>
      </c>
      <c r="B172" s="4" t="s">
        <v>539</v>
      </c>
      <c r="C172" s="5" t="s">
        <v>540</v>
      </c>
      <c r="D172" s="34" t="s">
        <v>21</v>
      </c>
      <c r="E172" s="34" t="s">
        <v>541</v>
      </c>
      <c r="F172" s="34">
        <f>E172*E169</f>
        <v>0.15345</v>
      </c>
    </row>
    <row r="173" spans="1:6" x14ac:dyDescent="0.25">
      <c r="A173" s="4" t="s">
        <v>578</v>
      </c>
      <c r="B173" s="4" t="s">
        <v>544</v>
      </c>
      <c r="C173" s="5" t="s">
        <v>545</v>
      </c>
      <c r="D173" s="34" t="s">
        <v>21</v>
      </c>
      <c r="E173" s="34" t="s">
        <v>579</v>
      </c>
      <c r="F173" s="34">
        <f>E173*E169</f>
        <v>1.9483500000000002</v>
      </c>
    </row>
    <row r="174" spans="1:6" x14ac:dyDescent="0.25">
      <c r="A174" s="4" t="s">
        <v>581</v>
      </c>
      <c r="B174" s="4" t="s">
        <v>549</v>
      </c>
      <c r="C174" s="5" t="s">
        <v>550</v>
      </c>
      <c r="D174" s="34" t="s">
        <v>21</v>
      </c>
      <c r="E174" s="34" t="s">
        <v>582</v>
      </c>
      <c r="F174" s="34">
        <f>E174*E169</f>
        <v>0.93464999999999998</v>
      </c>
    </row>
    <row r="175" spans="1:6" ht="22.5" x14ac:dyDescent="0.25">
      <c r="A175" s="4" t="s">
        <v>584</v>
      </c>
      <c r="B175" s="4" t="s">
        <v>239</v>
      </c>
      <c r="C175" s="5" t="s">
        <v>190</v>
      </c>
      <c r="D175" s="34" t="s">
        <v>21</v>
      </c>
      <c r="E175" s="34" t="s">
        <v>554</v>
      </c>
      <c r="F175" s="34">
        <f>E175*E169</f>
        <v>0.23250000000000001</v>
      </c>
    </row>
    <row r="176" spans="1:6" ht="22.5" x14ac:dyDescent="0.25">
      <c r="A176" s="4" t="s">
        <v>586</v>
      </c>
      <c r="B176" s="4" t="s">
        <v>557</v>
      </c>
      <c r="C176" s="5" t="s">
        <v>558</v>
      </c>
      <c r="D176" s="34" t="s">
        <v>60</v>
      </c>
      <c r="E176" s="34" t="s">
        <v>587</v>
      </c>
      <c r="F176" s="34">
        <f>E176*E169</f>
        <v>0.34410000000000002</v>
      </c>
    </row>
    <row r="177" spans="1:6" x14ac:dyDescent="0.25">
      <c r="A177" s="4" t="s">
        <v>589</v>
      </c>
      <c r="B177" s="4" t="s">
        <v>562</v>
      </c>
      <c r="C177" s="5" t="s">
        <v>563</v>
      </c>
      <c r="D177" s="34" t="s">
        <v>60</v>
      </c>
      <c r="E177" s="34" t="s">
        <v>590</v>
      </c>
      <c r="F177" s="34">
        <f>E177*E169</f>
        <v>0.14415</v>
      </c>
    </row>
    <row r="178" spans="1:6" ht="30.75" customHeight="1" x14ac:dyDescent="0.25">
      <c r="A178" s="6"/>
      <c r="B178" s="121" t="s">
        <v>755</v>
      </c>
      <c r="C178" s="121"/>
      <c r="D178" s="121"/>
      <c r="E178" s="36"/>
      <c r="F178" s="36"/>
    </row>
    <row r="179" spans="1:6" ht="15" customHeight="1" x14ac:dyDescent="0.25">
      <c r="A179" s="62" t="s">
        <v>592</v>
      </c>
      <c r="B179" s="63"/>
      <c r="C179" s="62" t="s">
        <v>592</v>
      </c>
      <c r="D179" s="74"/>
      <c r="E179" s="63"/>
      <c r="F179" s="64"/>
    </row>
    <row r="180" spans="1:6" ht="56.25" x14ac:dyDescent="0.25">
      <c r="A180" s="7" t="s">
        <v>8</v>
      </c>
      <c r="B180" s="7" t="s">
        <v>593</v>
      </c>
      <c r="C180" s="8" t="s">
        <v>594</v>
      </c>
      <c r="D180" s="85" t="s">
        <v>11</v>
      </c>
      <c r="E180" s="120" t="s">
        <v>595</v>
      </c>
      <c r="F180" s="120"/>
    </row>
    <row r="181" spans="1:6" x14ac:dyDescent="0.25">
      <c r="A181" s="9" t="s">
        <v>13</v>
      </c>
      <c r="B181" s="9" t="s">
        <v>14</v>
      </c>
      <c r="C181" s="10" t="s">
        <v>15</v>
      </c>
      <c r="D181" s="37" t="s">
        <v>16</v>
      </c>
      <c r="E181" s="37" t="s">
        <v>596</v>
      </c>
      <c r="F181" s="37">
        <f>E181*E180</f>
        <v>293.81913668800001</v>
      </c>
    </row>
    <row r="182" spans="1:6" ht="33.75" x14ac:dyDescent="0.25">
      <c r="A182" s="9" t="s">
        <v>18</v>
      </c>
      <c r="B182" s="9" t="s">
        <v>19</v>
      </c>
      <c r="C182" s="10" t="s">
        <v>20</v>
      </c>
      <c r="D182" s="37" t="s">
        <v>21</v>
      </c>
      <c r="E182" s="37" t="s">
        <v>596</v>
      </c>
      <c r="F182" s="37">
        <f>E182*E180</f>
        <v>293.81913668800001</v>
      </c>
    </row>
    <row r="183" spans="1:6" ht="33.75" x14ac:dyDescent="0.25">
      <c r="A183" s="7" t="s">
        <v>23</v>
      </c>
      <c r="B183" s="7" t="s">
        <v>598</v>
      </c>
      <c r="C183" s="8" t="s">
        <v>599</v>
      </c>
      <c r="D183" s="85" t="s">
        <v>11</v>
      </c>
      <c r="E183" s="120" t="s">
        <v>595</v>
      </c>
      <c r="F183" s="120"/>
    </row>
    <row r="184" spans="1:6" x14ac:dyDescent="0.25">
      <c r="A184" s="9" t="s">
        <v>26</v>
      </c>
      <c r="B184" s="9" t="s">
        <v>14</v>
      </c>
      <c r="C184" s="10" t="s">
        <v>15</v>
      </c>
      <c r="D184" s="37" t="s">
        <v>16</v>
      </c>
      <c r="E184" s="37" t="s">
        <v>600</v>
      </c>
      <c r="F184" s="37">
        <f>E184*E183</f>
        <v>1165.448977</v>
      </c>
    </row>
    <row r="185" spans="1:6" ht="33.75" x14ac:dyDescent="0.25">
      <c r="A185" s="9" t="s">
        <v>29</v>
      </c>
      <c r="B185" s="9" t="s">
        <v>19</v>
      </c>
      <c r="C185" s="10" t="s">
        <v>20</v>
      </c>
      <c r="D185" s="37" t="s">
        <v>21</v>
      </c>
      <c r="E185" s="37" t="s">
        <v>600</v>
      </c>
      <c r="F185" s="37">
        <f>E185*E183</f>
        <v>1165.448977</v>
      </c>
    </row>
    <row r="186" spans="1:6" ht="22.5" x14ac:dyDescent="0.25">
      <c r="A186" s="7" t="s">
        <v>30</v>
      </c>
      <c r="B186" s="7" t="s">
        <v>602</v>
      </c>
      <c r="C186" s="8" t="s">
        <v>603</v>
      </c>
      <c r="D186" s="85" t="s">
        <v>604</v>
      </c>
      <c r="E186" s="120" t="s">
        <v>605</v>
      </c>
      <c r="F186" s="120"/>
    </row>
    <row r="187" spans="1:6" x14ac:dyDescent="0.25">
      <c r="A187" s="9" t="s">
        <v>33</v>
      </c>
      <c r="B187" s="9" t="s">
        <v>14</v>
      </c>
      <c r="C187" s="10" t="s">
        <v>15</v>
      </c>
      <c r="D187" s="37" t="s">
        <v>16</v>
      </c>
      <c r="E187" s="37" t="s">
        <v>226</v>
      </c>
      <c r="F187" s="37">
        <f>E187*E186</f>
        <v>14.31739</v>
      </c>
    </row>
    <row r="188" spans="1:6" ht="33.75" x14ac:dyDescent="0.25">
      <c r="A188" s="9" t="s">
        <v>38</v>
      </c>
      <c r="B188" s="9" t="s">
        <v>42</v>
      </c>
      <c r="C188" s="10" t="s">
        <v>43</v>
      </c>
      <c r="D188" s="37" t="s">
        <v>21</v>
      </c>
      <c r="E188" s="37" t="s">
        <v>226</v>
      </c>
      <c r="F188" s="37">
        <f>E188*E186</f>
        <v>14.31739</v>
      </c>
    </row>
    <row r="189" spans="1:6" ht="56.25" x14ac:dyDescent="0.25">
      <c r="A189" s="7" t="s">
        <v>57</v>
      </c>
      <c r="B189" s="7" t="s">
        <v>9</v>
      </c>
      <c r="C189" s="8" t="s">
        <v>10</v>
      </c>
      <c r="D189" s="85" t="s">
        <v>11</v>
      </c>
      <c r="E189" s="120" t="s">
        <v>607</v>
      </c>
      <c r="F189" s="120"/>
    </row>
    <row r="190" spans="1:6" x14ac:dyDescent="0.25">
      <c r="A190" s="9" t="s">
        <v>62</v>
      </c>
      <c r="B190" s="9" t="s">
        <v>14</v>
      </c>
      <c r="C190" s="10" t="s">
        <v>15</v>
      </c>
      <c r="D190" s="37" t="s">
        <v>16</v>
      </c>
      <c r="E190" s="37" t="s">
        <v>17</v>
      </c>
      <c r="F190" s="37">
        <f>E190*E189</f>
        <v>261.93023999999997</v>
      </c>
    </row>
    <row r="191" spans="1:6" ht="33.75" x14ac:dyDescent="0.25">
      <c r="A191" s="9" t="s">
        <v>65</v>
      </c>
      <c r="B191" s="9" t="s">
        <v>19</v>
      </c>
      <c r="C191" s="10" t="s">
        <v>20</v>
      </c>
      <c r="D191" s="37" t="s">
        <v>21</v>
      </c>
      <c r="E191" s="37" t="s">
        <v>17</v>
      </c>
      <c r="F191" s="37">
        <f>E191*E189</f>
        <v>261.93023999999997</v>
      </c>
    </row>
    <row r="192" spans="1:6" ht="56.25" x14ac:dyDescent="0.25">
      <c r="A192" s="7" t="s">
        <v>68</v>
      </c>
      <c r="B192" s="7" t="s">
        <v>609</v>
      </c>
      <c r="C192" s="8" t="s">
        <v>610</v>
      </c>
      <c r="D192" s="85" t="s">
        <v>11</v>
      </c>
      <c r="E192" s="120" t="s">
        <v>611</v>
      </c>
      <c r="F192" s="120"/>
    </row>
    <row r="193" spans="1:6" x14ac:dyDescent="0.25">
      <c r="A193" s="9" t="s">
        <v>71</v>
      </c>
      <c r="B193" s="9" t="s">
        <v>34</v>
      </c>
      <c r="C193" s="10" t="s">
        <v>35</v>
      </c>
      <c r="D193" s="37" t="s">
        <v>16</v>
      </c>
      <c r="E193" s="37" t="s">
        <v>612</v>
      </c>
      <c r="F193" s="37">
        <f>E193*E192</f>
        <v>1592.423356</v>
      </c>
    </row>
    <row r="194" spans="1:6" x14ac:dyDescent="0.25">
      <c r="A194" s="9" t="s">
        <v>74</v>
      </c>
      <c r="B194" s="9" t="s">
        <v>14</v>
      </c>
      <c r="C194" s="10" t="s">
        <v>15</v>
      </c>
      <c r="D194" s="37" t="s">
        <v>16</v>
      </c>
      <c r="E194" s="37" t="s">
        <v>614</v>
      </c>
      <c r="F194" s="37">
        <f>E194*E192</f>
        <v>7934.9423199999992</v>
      </c>
    </row>
    <row r="195" spans="1:6" ht="33.75" x14ac:dyDescent="0.25">
      <c r="A195" s="9" t="s">
        <v>77</v>
      </c>
      <c r="B195" s="9" t="s">
        <v>42</v>
      </c>
      <c r="C195" s="10" t="s">
        <v>43</v>
      </c>
      <c r="D195" s="37" t="s">
        <v>21</v>
      </c>
      <c r="E195" s="37" t="s">
        <v>616</v>
      </c>
      <c r="F195" s="37">
        <f>E195*E192</f>
        <v>1065.238832</v>
      </c>
    </row>
    <row r="196" spans="1:6" ht="33.75" x14ac:dyDescent="0.25">
      <c r="A196" s="9" t="s">
        <v>618</v>
      </c>
      <c r="B196" s="9" t="s">
        <v>619</v>
      </c>
      <c r="C196" s="10" t="s">
        <v>620</v>
      </c>
      <c r="D196" s="37" t="s">
        <v>21</v>
      </c>
      <c r="E196" s="37" t="s">
        <v>621</v>
      </c>
      <c r="F196" s="37">
        <f>E196*E192</f>
        <v>3434.8517440000001</v>
      </c>
    </row>
    <row r="197" spans="1:6" x14ac:dyDescent="0.25">
      <c r="A197" s="9" t="s">
        <v>623</v>
      </c>
      <c r="B197" s="9" t="s">
        <v>52</v>
      </c>
      <c r="C197" s="10" t="s">
        <v>53</v>
      </c>
      <c r="D197" s="37" t="s">
        <v>54</v>
      </c>
      <c r="E197" s="37" t="s">
        <v>97</v>
      </c>
      <c r="F197" s="37">
        <f>E197*E192</f>
        <v>32.609352000000001</v>
      </c>
    </row>
    <row r="198" spans="1:6" ht="45" x14ac:dyDescent="0.25">
      <c r="A198" s="7" t="s">
        <v>80</v>
      </c>
      <c r="B198" s="7" t="s">
        <v>625</v>
      </c>
      <c r="C198" s="8" t="s">
        <v>626</v>
      </c>
      <c r="D198" s="85" t="s">
        <v>11</v>
      </c>
      <c r="E198" s="120" t="s">
        <v>627</v>
      </c>
      <c r="F198" s="120"/>
    </row>
    <row r="199" spans="1:6" x14ac:dyDescent="0.25">
      <c r="A199" s="9" t="s">
        <v>84</v>
      </c>
      <c r="B199" s="9" t="s">
        <v>34</v>
      </c>
      <c r="C199" s="10" t="s">
        <v>35</v>
      </c>
      <c r="D199" s="37" t="s">
        <v>16</v>
      </c>
      <c r="E199" s="37" t="s">
        <v>628</v>
      </c>
      <c r="F199" s="37">
        <f>E199*E198</f>
        <v>162.80813799999999</v>
      </c>
    </row>
    <row r="200" spans="1:6" x14ac:dyDescent="0.25">
      <c r="A200" s="9" t="s">
        <v>87</v>
      </c>
      <c r="B200" s="9" t="s">
        <v>14</v>
      </c>
      <c r="C200" s="10" t="s">
        <v>15</v>
      </c>
      <c r="D200" s="37" t="s">
        <v>16</v>
      </c>
      <c r="E200" s="37" t="s">
        <v>630</v>
      </c>
      <c r="F200" s="37">
        <f>E200*E198</f>
        <v>686.90764200000001</v>
      </c>
    </row>
    <row r="201" spans="1:6" ht="33.75" x14ac:dyDescent="0.25">
      <c r="A201" s="9" t="s">
        <v>90</v>
      </c>
      <c r="B201" s="9" t="s">
        <v>619</v>
      </c>
      <c r="C201" s="10" t="s">
        <v>620</v>
      </c>
      <c r="D201" s="37" t="s">
        <v>21</v>
      </c>
      <c r="E201" s="37" t="s">
        <v>632</v>
      </c>
      <c r="F201" s="37">
        <f>E201*E198</f>
        <v>343.453821</v>
      </c>
    </row>
    <row r="202" spans="1:6" ht="56.25" x14ac:dyDescent="0.25">
      <c r="A202" s="7" t="s">
        <v>99</v>
      </c>
      <c r="B202" s="7" t="s">
        <v>9</v>
      </c>
      <c r="C202" s="8" t="s">
        <v>10</v>
      </c>
      <c r="D202" s="85" t="s">
        <v>11</v>
      </c>
      <c r="E202" s="120" t="s">
        <v>627</v>
      </c>
      <c r="F202" s="120"/>
    </row>
    <row r="203" spans="1:6" x14ac:dyDescent="0.25">
      <c r="A203" s="9" t="s">
        <v>101</v>
      </c>
      <c r="B203" s="9" t="s">
        <v>14</v>
      </c>
      <c r="C203" s="10" t="s">
        <v>15</v>
      </c>
      <c r="D203" s="37" t="s">
        <v>16</v>
      </c>
      <c r="E203" s="37" t="s">
        <v>17</v>
      </c>
      <c r="F203" s="37">
        <f>E203*E202</f>
        <v>378.15595400000001</v>
      </c>
    </row>
    <row r="204" spans="1:6" ht="33.75" x14ac:dyDescent="0.25">
      <c r="A204" s="9" t="s">
        <v>103</v>
      </c>
      <c r="B204" s="9" t="s">
        <v>19</v>
      </c>
      <c r="C204" s="10" t="s">
        <v>20</v>
      </c>
      <c r="D204" s="37" t="s">
        <v>21</v>
      </c>
      <c r="E204" s="37" t="s">
        <v>17</v>
      </c>
      <c r="F204" s="37">
        <f>E204*E202</f>
        <v>378.15595400000001</v>
      </c>
    </row>
    <row r="205" spans="1:6" ht="67.5" x14ac:dyDescent="0.25">
      <c r="A205" s="7" t="s">
        <v>104</v>
      </c>
      <c r="B205" s="7" t="s">
        <v>105</v>
      </c>
      <c r="C205" s="8" t="s">
        <v>106</v>
      </c>
      <c r="D205" s="85" t="s">
        <v>107</v>
      </c>
      <c r="E205" s="120" t="s">
        <v>635</v>
      </c>
      <c r="F205" s="120"/>
    </row>
    <row r="206" spans="1:6" x14ac:dyDescent="0.25">
      <c r="A206" s="9" t="s">
        <v>109</v>
      </c>
      <c r="B206" s="9" t="s">
        <v>34</v>
      </c>
      <c r="C206" s="10" t="s">
        <v>35</v>
      </c>
      <c r="D206" s="37" t="s">
        <v>16</v>
      </c>
      <c r="E206" s="37" t="s">
        <v>110</v>
      </c>
      <c r="F206" s="37">
        <f>E206*E205</f>
        <v>5677.9615200000007</v>
      </c>
    </row>
    <row r="207" spans="1:6" ht="45" x14ac:dyDescent="0.25">
      <c r="A207" s="7" t="s">
        <v>112</v>
      </c>
      <c r="B207" s="7" t="s">
        <v>58</v>
      </c>
      <c r="C207" s="8" t="s">
        <v>59</v>
      </c>
      <c r="D207" s="85" t="s">
        <v>60</v>
      </c>
      <c r="E207" s="120" t="s">
        <v>637</v>
      </c>
      <c r="F207" s="120"/>
    </row>
    <row r="208" spans="1:6" x14ac:dyDescent="0.25">
      <c r="A208" s="9" t="s">
        <v>115</v>
      </c>
      <c r="B208" s="9" t="s">
        <v>14</v>
      </c>
      <c r="C208" s="10" t="s">
        <v>15</v>
      </c>
      <c r="D208" s="37" t="s">
        <v>16</v>
      </c>
      <c r="E208" s="37" t="s">
        <v>63</v>
      </c>
      <c r="F208" s="37">
        <f>E208*E207</f>
        <v>5603.1562563199996</v>
      </c>
    </row>
    <row r="209" spans="1:6" ht="22.5" x14ac:dyDescent="0.25">
      <c r="A209" s="9" t="s">
        <v>118</v>
      </c>
      <c r="B209" s="9" t="s">
        <v>66</v>
      </c>
      <c r="C209" s="10" t="s">
        <v>67</v>
      </c>
      <c r="D209" s="37" t="s">
        <v>21</v>
      </c>
      <c r="E209" s="37" t="s">
        <v>63</v>
      </c>
      <c r="F209" s="37">
        <f>E209*E207</f>
        <v>5603.1562563199996</v>
      </c>
    </row>
    <row r="210" spans="1:6" ht="33.75" x14ac:dyDescent="0.25">
      <c r="A210" s="7" t="s">
        <v>122</v>
      </c>
      <c r="B210" s="7" t="s">
        <v>639</v>
      </c>
      <c r="C210" s="8" t="s">
        <v>640</v>
      </c>
      <c r="D210" s="85" t="s">
        <v>11</v>
      </c>
      <c r="E210" s="120" t="s">
        <v>611</v>
      </c>
      <c r="F210" s="120"/>
    </row>
    <row r="211" spans="1:6" x14ac:dyDescent="0.25">
      <c r="A211" s="9" t="s">
        <v>125</v>
      </c>
      <c r="B211" s="9" t="s">
        <v>14</v>
      </c>
      <c r="C211" s="10" t="s">
        <v>15</v>
      </c>
      <c r="D211" s="37" t="s">
        <v>16</v>
      </c>
      <c r="E211" s="37" t="s">
        <v>641</v>
      </c>
      <c r="F211" s="37">
        <f>E211*E210</f>
        <v>290.76672200000002</v>
      </c>
    </row>
    <row r="212" spans="1:6" x14ac:dyDescent="0.25">
      <c r="A212" s="9" t="s">
        <v>128</v>
      </c>
      <c r="B212" s="9" t="s">
        <v>75</v>
      </c>
      <c r="C212" s="10" t="s">
        <v>76</v>
      </c>
      <c r="D212" s="37" t="s">
        <v>21</v>
      </c>
      <c r="E212" s="37" t="s">
        <v>641</v>
      </c>
      <c r="F212" s="37">
        <f>E212*E210</f>
        <v>290.76672200000002</v>
      </c>
    </row>
    <row r="213" spans="1:6" x14ac:dyDescent="0.25">
      <c r="A213" s="9" t="s">
        <v>131</v>
      </c>
      <c r="B213" s="9" t="s">
        <v>52</v>
      </c>
      <c r="C213" s="10" t="s">
        <v>53</v>
      </c>
      <c r="D213" s="37" t="s">
        <v>54</v>
      </c>
      <c r="E213" s="37" t="s">
        <v>97</v>
      </c>
      <c r="F213" s="37">
        <f>E213*E210</f>
        <v>32.609352000000001</v>
      </c>
    </row>
    <row r="214" spans="1:6" ht="56.25" x14ac:dyDescent="0.25">
      <c r="A214" s="7" t="s">
        <v>142</v>
      </c>
      <c r="B214" s="7" t="s">
        <v>643</v>
      </c>
      <c r="C214" s="8" t="s">
        <v>644</v>
      </c>
      <c r="D214" s="85" t="s">
        <v>11</v>
      </c>
      <c r="E214" s="120" t="s">
        <v>645</v>
      </c>
      <c r="F214" s="120"/>
    </row>
    <row r="215" spans="1:6" x14ac:dyDescent="0.25">
      <c r="A215" s="9" t="s">
        <v>147</v>
      </c>
      <c r="B215" s="9" t="s">
        <v>34</v>
      </c>
      <c r="C215" s="10" t="s">
        <v>35</v>
      </c>
      <c r="D215" s="37" t="s">
        <v>16</v>
      </c>
      <c r="E215" s="37" t="s">
        <v>646</v>
      </c>
      <c r="F215" s="37">
        <f>E215*E214</f>
        <v>167.1599727</v>
      </c>
    </row>
    <row r="216" spans="1:6" x14ac:dyDescent="0.25">
      <c r="A216" s="9" t="s">
        <v>150</v>
      </c>
      <c r="B216" s="9" t="s">
        <v>14</v>
      </c>
      <c r="C216" s="10" t="s">
        <v>15</v>
      </c>
      <c r="D216" s="37" t="s">
        <v>16</v>
      </c>
      <c r="E216" s="37" t="s">
        <v>648</v>
      </c>
      <c r="F216" s="37">
        <f>E216*E214</f>
        <v>197.00996782499999</v>
      </c>
    </row>
    <row r="217" spans="1:6" ht="33.75" x14ac:dyDescent="0.25">
      <c r="A217" s="9" t="s">
        <v>153</v>
      </c>
      <c r="B217" s="9" t="s">
        <v>650</v>
      </c>
      <c r="C217" s="10" t="s">
        <v>651</v>
      </c>
      <c r="D217" s="37" t="s">
        <v>21</v>
      </c>
      <c r="E217" s="37" t="s">
        <v>652</v>
      </c>
      <c r="F217" s="37">
        <f>E217*E214</f>
        <v>78.685662824999994</v>
      </c>
    </row>
    <row r="218" spans="1:6" ht="22.5" x14ac:dyDescent="0.25">
      <c r="A218" s="9" t="s">
        <v>156</v>
      </c>
      <c r="B218" s="9" t="s">
        <v>654</v>
      </c>
      <c r="C218" s="10" t="s">
        <v>655</v>
      </c>
      <c r="D218" s="37" t="s">
        <v>21</v>
      </c>
      <c r="E218" s="37" t="s">
        <v>656</v>
      </c>
      <c r="F218" s="37">
        <f>E218*E214</f>
        <v>6.5078367749999995</v>
      </c>
    </row>
    <row r="219" spans="1:6" x14ac:dyDescent="0.25">
      <c r="A219" s="9" t="s">
        <v>658</v>
      </c>
      <c r="B219" s="9" t="s">
        <v>659</v>
      </c>
      <c r="C219" s="10" t="s">
        <v>660</v>
      </c>
      <c r="D219" s="37" t="s">
        <v>21</v>
      </c>
      <c r="E219" s="37" t="s">
        <v>661</v>
      </c>
      <c r="F219" s="37">
        <f>E219*E214</f>
        <v>109.88025232499999</v>
      </c>
    </row>
    <row r="220" spans="1:6" ht="22.5" x14ac:dyDescent="0.25">
      <c r="A220" s="9" t="s">
        <v>663</v>
      </c>
      <c r="B220" s="9" t="s">
        <v>664</v>
      </c>
      <c r="C220" s="10" t="s">
        <v>665</v>
      </c>
      <c r="D220" s="37" t="s">
        <v>21</v>
      </c>
      <c r="E220" s="37" t="s">
        <v>666</v>
      </c>
      <c r="F220" s="37">
        <f>E220*E214</f>
        <v>26.78431995</v>
      </c>
    </row>
    <row r="221" spans="1:6" ht="22.5" x14ac:dyDescent="0.25">
      <c r="A221" s="9" t="s">
        <v>668</v>
      </c>
      <c r="B221" s="9" t="s">
        <v>669</v>
      </c>
      <c r="C221" s="10" t="s">
        <v>670</v>
      </c>
      <c r="D221" s="37" t="s">
        <v>21</v>
      </c>
      <c r="E221" s="37" t="s">
        <v>671</v>
      </c>
      <c r="F221" s="37">
        <f>E221*E214</f>
        <v>31.060130062500001</v>
      </c>
    </row>
    <row r="222" spans="1:6" ht="33.75" x14ac:dyDescent="0.25">
      <c r="A222" s="9" t="s">
        <v>673</v>
      </c>
      <c r="B222" s="9" t="s">
        <v>674</v>
      </c>
      <c r="C222" s="10" t="s">
        <v>675</v>
      </c>
      <c r="D222" s="37" t="s">
        <v>21</v>
      </c>
      <c r="E222" s="37" t="s">
        <v>676</v>
      </c>
      <c r="F222" s="37">
        <f>E222*E214</f>
        <v>9.7617551625000001</v>
      </c>
    </row>
    <row r="223" spans="1:6" ht="33.75" x14ac:dyDescent="0.25">
      <c r="A223" s="9" t="s">
        <v>678</v>
      </c>
      <c r="B223" s="9" t="s">
        <v>679</v>
      </c>
      <c r="C223" s="10" t="s">
        <v>680</v>
      </c>
      <c r="D223" s="37" t="s">
        <v>21</v>
      </c>
      <c r="E223" s="37" t="s">
        <v>661</v>
      </c>
      <c r="F223" s="37">
        <f>E223*E214</f>
        <v>109.88025232499999</v>
      </c>
    </row>
    <row r="224" spans="1:6" ht="22.5" x14ac:dyDescent="0.25">
      <c r="A224" s="9" t="s">
        <v>681</v>
      </c>
      <c r="B224" s="9" t="s">
        <v>193</v>
      </c>
      <c r="C224" s="10" t="s">
        <v>194</v>
      </c>
      <c r="D224" s="37" t="s">
        <v>54</v>
      </c>
      <c r="E224" s="37" t="s">
        <v>682</v>
      </c>
      <c r="F224" s="37">
        <f>E224*E214</f>
        <v>467.685</v>
      </c>
    </row>
    <row r="225" spans="1:6" ht="45" x14ac:dyDescent="0.25">
      <c r="A225" s="7" t="s">
        <v>161</v>
      </c>
      <c r="B225" s="7" t="s">
        <v>684</v>
      </c>
      <c r="C225" s="8" t="s">
        <v>685</v>
      </c>
      <c r="D225" s="85" t="s">
        <v>686</v>
      </c>
      <c r="E225" s="120" t="s">
        <v>687</v>
      </c>
      <c r="F225" s="120"/>
    </row>
    <row r="226" spans="1:6" x14ac:dyDescent="0.25">
      <c r="A226" s="9" t="s">
        <v>166</v>
      </c>
      <c r="B226" s="9" t="s">
        <v>34</v>
      </c>
      <c r="C226" s="10" t="s">
        <v>35</v>
      </c>
      <c r="D226" s="37" t="s">
        <v>16</v>
      </c>
      <c r="E226" s="37" t="s">
        <v>688</v>
      </c>
      <c r="F226" s="37">
        <f>E226*E225</f>
        <v>39.430999999999997</v>
      </c>
    </row>
    <row r="227" spans="1:6" x14ac:dyDescent="0.25">
      <c r="A227" s="9" t="s">
        <v>169</v>
      </c>
      <c r="B227" s="9" t="s">
        <v>14</v>
      </c>
      <c r="C227" s="10" t="s">
        <v>15</v>
      </c>
      <c r="D227" s="37" t="s">
        <v>16</v>
      </c>
      <c r="E227" s="37" t="s">
        <v>690</v>
      </c>
      <c r="F227" s="37">
        <f>E227*E225</f>
        <v>21.371000000000002</v>
      </c>
    </row>
    <row r="228" spans="1:6" x14ac:dyDescent="0.25">
      <c r="A228" s="9" t="s">
        <v>692</v>
      </c>
      <c r="B228" s="9" t="s">
        <v>75</v>
      </c>
      <c r="C228" s="10" t="s">
        <v>76</v>
      </c>
      <c r="D228" s="37" t="s">
        <v>21</v>
      </c>
      <c r="E228" s="37" t="s">
        <v>693</v>
      </c>
      <c r="F228" s="37">
        <f>E228*E225</f>
        <v>20.038</v>
      </c>
    </row>
    <row r="229" spans="1:6" ht="33.75" x14ac:dyDescent="0.25">
      <c r="A229" s="9" t="s">
        <v>695</v>
      </c>
      <c r="B229" s="9" t="s">
        <v>42</v>
      </c>
      <c r="C229" s="10" t="s">
        <v>43</v>
      </c>
      <c r="D229" s="37" t="s">
        <v>21</v>
      </c>
      <c r="E229" s="37" t="s">
        <v>696</v>
      </c>
      <c r="F229" s="37">
        <f>E229*E225</f>
        <v>0.49449999999999994</v>
      </c>
    </row>
    <row r="230" spans="1:6" x14ac:dyDescent="0.25">
      <c r="A230" s="9" t="s">
        <v>698</v>
      </c>
      <c r="B230" s="9" t="s">
        <v>659</v>
      </c>
      <c r="C230" s="10" t="s">
        <v>660</v>
      </c>
      <c r="D230" s="37" t="s">
        <v>21</v>
      </c>
      <c r="E230" s="37" t="s">
        <v>699</v>
      </c>
      <c r="F230" s="37">
        <f>E230*E225</f>
        <v>1.0964999999999998</v>
      </c>
    </row>
    <row r="231" spans="1:6" ht="33.75" x14ac:dyDescent="0.25">
      <c r="A231" s="9" t="s">
        <v>701</v>
      </c>
      <c r="B231" s="9" t="s">
        <v>702</v>
      </c>
      <c r="C231" s="10" t="s">
        <v>703</v>
      </c>
      <c r="D231" s="37" t="s">
        <v>21</v>
      </c>
      <c r="E231" s="37" t="s">
        <v>704</v>
      </c>
      <c r="F231" s="37">
        <f>E231*E225</f>
        <v>0.83850000000000002</v>
      </c>
    </row>
    <row r="232" spans="1:6" x14ac:dyDescent="0.25">
      <c r="A232" s="9" t="s">
        <v>706</v>
      </c>
      <c r="B232" s="9" t="s">
        <v>52</v>
      </c>
      <c r="C232" s="10" t="s">
        <v>53</v>
      </c>
      <c r="D232" s="37" t="s">
        <v>54</v>
      </c>
      <c r="E232" s="37" t="s">
        <v>142</v>
      </c>
      <c r="F232" s="37">
        <f>E232*E225</f>
        <v>4.7299999999999995</v>
      </c>
    </row>
    <row r="233" spans="1:6" ht="33.75" x14ac:dyDescent="0.25">
      <c r="A233" s="7" t="s">
        <v>172</v>
      </c>
      <c r="B233" s="7" t="s">
        <v>708</v>
      </c>
      <c r="C233" s="8" t="s">
        <v>709</v>
      </c>
      <c r="D233" s="85" t="s">
        <v>686</v>
      </c>
      <c r="E233" s="120" t="s">
        <v>710</v>
      </c>
      <c r="F233" s="120"/>
    </row>
    <row r="234" spans="1:6" x14ac:dyDescent="0.25">
      <c r="A234" s="9" t="s">
        <v>177</v>
      </c>
      <c r="B234" s="9" t="s">
        <v>34</v>
      </c>
      <c r="C234" s="10" t="s">
        <v>35</v>
      </c>
      <c r="D234" s="37" t="s">
        <v>16</v>
      </c>
      <c r="E234" s="37" t="s">
        <v>711</v>
      </c>
      <c r="F234" s="37">
        <f>E234*E233</f>
        <v>-1.0578000000000001</v>
      </c>
    </row>
    <row r="235" spans="1:6" x14ac:dyDescent="0.25">
      <c r="A235" s="9" t="s">
        <v>180</v>
      </c>
      <c r="B235" s="9" t="s">
        <v>14</v>
      </c>
      <c r="C235" s="10" t="s">
        <v>15</v>
      </c>
      <c r="D235" s="37" t="s">
        <v>16</v>
      </c>
      <c r="E235" s="37" t="s">
        <v>713</v>
      </c>
      <c r="F235" s="37">
        <f>E235*E233</f>
        <v>-4.4805999999999999</v>
      </c>
    </row>
    <row r="236" spans="1:6" x14ac:dyDescent="0.25">
      <c r="A236" s="9" t="s">
        <v>183</v>
      </c>
      <c r="B236" s="9" t="s">
        <v>75</v>
      </c>
      <c r="C236" s="10" t="s">
        <v>76</v>
      </c>
      <c r="D236" s="37" t="s">
        <v>21</v>
      </c>
      <c r="E236" s="37" t="s">
        <v>715</v>
      </c>
      <c r="F236" s="37">
        <f>E236*E233</f>
        <v>-4.343</v>
      </c>
    </row>
    <row r="237" spans="1:6" ht="33.75" x14ac:dyDescent="0.25">
      <c r="A237" s="9" t="s">
        <v>188</v>
      </c>
      <c r="B237" s="9" t="s">
        <v>42</v>
      </c>
      <c r="C237" s="10" t="s">
        <v>43</v>
      </c>
      <c r="D237" s="37" t="s">
        <v>21</v>
      </c>
      <c r="E237" s="37" t="s">
        <v>559</v>
      </c>
      <c r="F237" s="37">
        <f>E237*E233</f>
        <v>-0.1376</v>
      </c>
    </row>
    <row r="238" spans="1:6" x14ac:dyDescent="0.25">
      <c r="A238" s="9" t="s">
        <v>192</v>
      </c>
      <c r="B238" s="9" t="s">
        <v>659</v>
      </c>
      <c r="C238" s="10" t="s">
        <v>660</v>
      </c>
      <c r="D238" s="37" t="s">
        <v>21</v>
      </c>
      <c r="E238" s="37" t="s">
        <v>718</v>
      </c>
      <c r="F238" s="37">
        <f>E238*E233</f>
        <v>-0.30099999999999999</v>
      </c>
    </row>
    <row r="239" spans="1:6" ht="45" x14ac:dyDescent="0.25">
      <c r="A239" s="7" t="s">
        <v>197</v>
      </c>
      <c r="B239" s="7" t="s">
        <v>720</v>
      </c>
      <c r="C239" s="8" t="s">
        <v>721</v>
      </c>
      <c r="D239" s="85" t="s">
        <v>11</v>
      </c>
      <c r="E239" s="120" t="s">
        <v>722</v>
      </c>
      <c r="F239" s="120"/>
    </row>
    <row r="240" spans="1:6" x14ac:dyDescent="0.25">
      <c r="A240" s="9" t="s">
        <v>723</v>
      </c>
      <c r="B240" s="9" t="s">
        <v>34</v>
      </c>
      <c r="C240" s="10" t="s">
        <v>35</v>
      </c>
      <c r="D240" s="37" t="s">
        <v>16</v>
      </c>
      <c r="E240" s="37" t="s">
        <v>724</v>
      </c>
      <c r="F240" s="37">
        <f>E240*E239</f>
        <v>6.0449999999999999</v>
      </c>
    </row>
    <row r="241" spans="1:6" x14ac:dyDescent="0.25">
      <c r="A241" s="9" t="s">
        <v>726</v>
      </c>
      <c r="B241" s="9" t="s">
        <v>14</v>
      </c>
      <c r="C241" s="10" t="s">
        <v>15</v>
      </c>
      <c r="D241" s="37" t="s">
        <v>16</v>
      </c>
      <c r="E241" s="37" t="s">
        <v>727</v>
      </c>
      <c r="F241" s="37">
        <f>E241*E239</f>
        <v>25.512499999999999</v>
      </c>
    </row>
    <row r="242" spans="1:6" ht="33.75" x14ac:dyDescent="0.25">
      <c r="A242" s="9" t="s">
        <v>729</v>
      </c>
      <c r="B242" s="9" t="s">
        <v>619</v>
      </c>
      <c r="C242" s="10" t="s">
        <v>620</v>
      </c>
      <c r="D242" s="37" t="s">
        <v>21</v>
      </c>
      <c r="E242" s="37" t="s">
        <v>730</v>
      </c>
      <c r="F242" s="37">
        <f>E242*E239</f>
        <v>12.75625</v>
      </c>
    </row>
    <row r="243" spans="1:6" ht="45" x14ac:dyDescent="0.25">
      <c r="A243" s="7" t="s">
        <v>202</v>
      </c>
      <c r="B243" s="7" t="s">
        <v>684</v>
      </c>
      <c r="C243" s="8" t="s">
        <v>685</v>
      </c>
      <c r="D243" s="85" t="s">
        <v>686</v>
      </c>
      <c r="E243" s="120" t="s">
        <v>732</v>
      </c>
      <c r="F243" s="120"/>
    </row>
    <row r="244" spans="1:6" x14ac:dyDescent="0.25">
      <c r="A244" s="9" t="s">
        <v>206</v>
      </c>
      <c r="B244" s="9" t="s">
        <v>34</v>
      </c>
      <c r="C244" s="10" t="s">
        <v>35</v>
      </c>
      <c r="D244" s="37" t="s">
        <v>16</v>
      </c>
      <c r="E244" s="37" t="s">
        <v>688</v>
      </c>
      <c r="F244" s="37">
        <f>E244*E243</f>
        <v>20.173999999999999</v>
      </c>
    </row>
    <row r="245" spans="1:6" x14ac:dyDescent="0.25">
      <c r="A245" s="9" t="s">
        <v>209</v>
      </c>
      <c r="B245" s="9" t="s">
        <v>14</v>
      </c>
      <c r="C245" s="10" t="s">
        <v>15</v>
      </c>
      <c r="D245" s="37" t="s">
        <v>16</v>
      </c>
      <c r="E245" s="37" t="s">
        <v>690</v>
      </c>
      <c r="F245" s="37">
        <f>E245*E243</f>
        <v>10.934000000000001</v>
      </c>
    </row>
    <row r="246" spans="1:6" x14ac:dyDescent="0.25">
      <c r="A246" s="9" t="s">
        <v>212</v>
      </c>
      <c r="B246" s="9" t="s">
        <v>75</v>
      </c>
      <c r="C246" s="10" t="s">
        <v>76</v>
      </c>
      <c r="D246" s="37" t="s">
        <v>21</v>
      </c>
      <c r="E246" s="37" t="s">
        <v>693</v>
      </c>
      <c r="F246" s="37">
        <f>E246*E243</f>
        <v>10.252000000000001</v>
      </c>
    </row>
    <row r="247" spans="1:6" ht="33.75" x14ac:dyDescent="0.25">
      <c r="A247" s="9" t="s">
        <v>215</v>
      </c>
      <c r="B247" s="9" t="s">
        <v>42</v>
      </c>
      <c r="C247" s="10" t="s">
        <v>43</v>
      </c>
      <c r="D247" s="37" t="s">
        <v>21</v>
      </c>
      <c r="E247" s="37" t="s">
        <v>696</v>
      </c>
      <c r="F247" s="37">
        <f>E247*E243</f>
        <v>0.253</v>
      </c>
    </row>
    <row r="248" spans="1:6" x14ac:dyDescent="0.25">
      <c r="A248" s="9" t="s">
        <v>218</v>
      </c>
      <c r="B248" s="9" t="s">
        <v>659</v>
      </c>
      <c r="C248" s="10" t="s">
        <v>660</v>
      </c>
      <c r="D248" s="37" t="s">
        <v>21</v>
      </c>
      <c r="E248" s="37" t="s">
        <v>699</v>
      </c>
      <c r="F248" s="37">
        <f>E248*E243</f>
        <v>0.56099999999999994</v>
      </c>
    </row>
    <row r="249" spans="1:6" ht="33.75" x14ac:dyDescent="0.25">
      <c r="A249" s="9" t="s">
        <v>738</v>
      </c>
      <c r="B249" s="9" t="s">
        <v>702</v>
      </c>
      <c r="C249" s="10" t="s">
        <v>703</v>
      </c>
      <c r="D249" s="37" t="s">
        <v>21</v>
      </c>
      <c r="E249" s="37" t="s">
        <v>704</v>
      </c>
      <c r="F249" s="37">
        <f>E249*E243</f>
        <v>0.42899999999999999</v>
      </c>
    </row>
    <row r="250" spans="1:6" x14ac:dyDescent="0.25">
      <c r="A250" s="9" t="s">
        <v>740</v>
      </c>
      <c r="B250" s="9" t="s">
        <v>52</v>
      </c>
      <c r="C250" s="10" t="s">
        <v>53</v>
      </c>
      <c r="D250" s="37" t="s">
        <v>54</v>
      </c>
      <c r="E250" s="37" t="s">
        <v>142</v>
      </c>
      <c r="F250" s="37">
        <f>E250*E243</f>
        <v>2.42</v>
      </c>
    </row>
    <row r="251" spans="1:6" ht="33.75" x14ac:dyDescent="0.25">
      <c r="A251" s="7" t="s">
        <v>221</v>
      </c>
      <c r="B251" s="7" t="s">
        <v>708</v>
      </c>
      <c r="C251" s="8" t="s">
        <v>709</v>
      </c>
      <c r="D251" s="85" t="s">
        <v>686</v>
      </c>
      <c r="E251" s="120" t="s">
        <v>742</v>
      </c>
      <c r="F251" s="120"/>
    </row>
    <row r="252" spans="1:6" x14ac:dyDescent="0.25">
      <c r="A252" s="9" t="s">
        <v>743</v>
      </c>
      <c r="B252" s="9" t="s">
        <v>34</v>
      </c>
      <c r="C252" s="10" t="s">
        <v>35</v>
      </c>
      <c r="D252" s="37" t="s">
        <v>16</v>
      </c>
      <c r="E252" s="37" t="s">
        <v>711</v>
      </c>
      <c r="F252" s="37">
        <f>E252*E251</f>
        <v>-0.54120000000000001</v>
      </c>
    </row>
    <row r="253" spans="1:6" x14ac:dyDescent="0.25">
      <c r="A253" s="9" t="s">
        <v>745</v>
      </c>
      <c r="B253" s="9" t="s">
        <v>14</v>
      </c>
      <c r="C253" s="10" t="s">
        <v>15</v>
      </c>
      <c r="D253" s="37" t="s">
        <v>16</v>
      </c>
      <c r="E253" s="37" t="s">
        <v>713</v>
      </c>
      <c r="F253" s="37">
        <f>E253*E251</f>
        <v>-2.2924000000000002</v>
      </c>
    </row>
    <row r="254" spans="1:6" x14ac:dyDescent="0.25">
      <c r="A254" s="9" t="s">
        <v>747</v>
      </c>
      <c r="B254" s="9" t="s">
        <v>75</v>
      </c>
      <c r="C254" s="10" t="s">
        <v>76</v>
      </c>
      <c r="D254" s="37" t="s">
        <v>21</v>
      </c>
      <c r="E254" s="37" t="s">
        <v>715</v>
      </c>
      <c r="F254" s="37">
        <f>E254*E251</f>
        <v>-2.222</v>
      </c>
    </row>
    <row r="255" spans="1:6" ht="33.75" x14ac:dyDescent="0.25">
      <c r="A255" s="9" t="s">
        <v>749</v>
      </c>
      <c r="B255" s="9" t="s">
        <v>42</v>
      </c>
      <c r="C255" s="10" t="s">
        <v>43</v>
      </c>
      <c r="D255" s="37" t="s">
        <v>21</v>
      </c>
      <c r="E255" s="37" t="s">
        <v>559</v>
      </c>
      <c r="F255" s="37">
        <f>E255*E251</f>
        <v>-7.0400000000000004E-2</v>
      </c>
    </row>
    <row r="256" spans="1:6" x14ac:dyDescent="0.25">
      <c r="A256" s="9" t="s">
        <v>751</v>
      </c>
      <c r="B256" s="9" t="s">
        <v>659</v>
      </c>
      <c r="C256" s="10" t="s">
        <v>660</v>
      </c>
      <c r="D256" s="37" t="s">
        <v>21</v>
      </c>
      <c r="E256" s="37" t="s">
        <v>718</v>
      </c>
      <c r="F256" s="37">
        <f>E256*E251</f>
        <v>-0.154</v>
      </c>
    </row>
    <row r="257" spans="1:6" ht="56.25" x14ac:dyDescent="0.25">
      <c r="A257" s="7" t="s">
        <v>225</v>
      </c>
      <c r="B257" s="7" t="s">
        <v>9</v>
      </c>
      <c r="C257" s="8" t="s">
        <v>10</v>
      </c>
      <c r="D257" s="85" t="s">
        <v>11</v>
      </c>
      <c r="E257" s="120" t="s">
        <v>722</v>
      </c>
      <c r="F257" s="120"/>
    </row>
    <row r="258" spans="1:6" x14ac:dyDescent="0.25">
      <c r="A258" s="9" t="s">
        <v>227</v>
      </c>
      <c r="B258" s="9" t="s">
        <v>14</v>
      </c>
      <c r="C258" s="10" t="s">
        <v>15</v>
      </c>
      <c r="D258" s="37" t="s">
        <v>16</v>
      </c>
      <c r="E258" s="37" t="s">
        <v>17</v>
      </c>
      <c r="F258" s="37">
        <f>E258*E257</f>
        <v>18.947500000000002</v>
      </c>
    </row>
    <row r="259" spans="1:6" ht="33.75" x14ac:dyDescent="0.25">
      <c r="A259" s="9" t="s">
        <v>754</v>
      </c>
      <c r="B259" s="9" t="s">
        <v>19</v>
      </c>
      <c r="C259" s="10" t="s">
        <v>20</v>
      </c>
      <c r="D259" s="37" t="s">
        <v>21</v>
      </c>
      <c r="E259" s="37" t="s">
        <v>17</v>
      </c>
      <c r="F259" s="37">
        <f>E259*E257</f>
        <v>18.947500000000002</v>
      </c>
    </row>
    <row r="260" spans="1:6" ht="15" customHeight="1" x14ac:dyDescent="0.25">
      <c r="A260" s="62" t="s">
        <v>1903</v>
      </c>
      <c r="B260" s="63"/>
      <c r="C260" s="62" t="s">
        <v>1903</v>
      </c>
      <c r="D260" s="74"/>
      <c r="E260" s="63"/>
      <c r="F260" s="64"/>
    </row>
    <row r="261" spans="1:6" x14ac:dyDescent="0.25">
      <c r="A261" s="55" t="s">
        <v>228</v>
      </c>
      <c r="B261" s="56" t="s">
        <v>293</v>
      </c>
      <c r="C261" s="57" t="s">
        <v>294</v>
      </c>
      <c r="D261" s="75" t="s">
        <v>107</v>
      </c>
      <c r="E261" s="122" t="s">
        <v>1904</v>
      </c>
      <c r="F261" s="123"/>
    </row>
    <row r="262" spans="1:6" x14ac:dyDescent="0.25">
      <c r="A262" s="58" t="s">
        <v>232</v>
      </c>
      <c r="B262" s="59" t="s">
        <v>34</v>
      </c>
      <c r="C262" s="60" t="s">
        <v>35</v>
      </c>
      <c r="D262" s="76" t="s">
        <v>16</v>
      </c>
      <c r="E262" s="61" t="s">
        <v>297</v>
      </c>
      <c r="F262" s="61">
        <f>E262*E261</f>
        <v>345.57796000000002</v>
      </c>
    </row>
    <row r="263" spans="1:6" x14ac:dyDescent="0.25">
      <c r="A263" s="58" t="s">
        <v>235</v>
      </c>
      <c r="B263" s="59" t="s">
        <v>14</v>
      </c>
      <c r="C263" s="60" t="s">
        <v>15</v>
      </c>
      <c r="D263" s="76" t="s">
        <v>16</v>
      </c>
      <c r="E263" s="61" t="s">
        <v>300</v>
      </c>
      <c r="F263" s="61">
        <f>E263*E261</f>
        <v>30.594746000000004</v>
      </c>
    </row>
    <row r="264" spans="1:6" x14ac:dyDescent="0.25">
      <c r="A264" s="58" t="s">
        <v>238</v>
      </c>
      <c r="B264" s="59" t="s">
        <v>303</v>
      </c>
      <c r="C264" s="60" t="s">
        <v>304</v>
      </c>
      <c r="D264" s="76" t="s">
        <v>21</v>
      </c>
      <c r="E264" s="61" t="s">
        <v>305</v>
      </c>
      <c r="F264" s="61">
        <f>E264*E261</f>
        <v>18.071508000000001</v>
      </c>
    </row>
    <row r="265" spans="1:6" ht="33.75" x14ac:dyDescent="0.25">
      <c r="A265" s="58" t="s">
        <v>240</v>
      </c>
      <c r="B265" s="59" t="s">
        <v>308</v>
      </c>
      <c r="C265" s="60" t="s">
        <v>309</v>
      </c>
      <c r="D265" s="76" t="s">
        <v>21</v>
      </c>
      <c r="E265" s="61" t="s">
        <v>310</v>
      </c>
      <c r="F265" s="61">
        <f>E265*E261</f>
        <v>8.4650748</v>
      </c>
    </row>
    <row r="266" spans="1:6" ht="33.75" x14ac:dyDescent="0.25">
      <c r="A266" s="58" t="s">
        <v>245</v>
      </c>
      <c r="B266" s="59" t="s">
        <v>313</v>
      </c>
      <c r="C266" s="60" t="s">
        <v>314</v>
      </c>
      <c r="D266" s="76" t="s">
        <v>21</v>
      </c>
      <c r="E266" s="61" t="s">
        <v>315</v>
      </c>
      <c r="F266" s="61">
        <f>E266*E261</f>
        <v>0.76090559999999996</v>
      </c>
    </row>
    <row r="267" spans="1:6" ht="33.75" x14ac:dyDescent="0.25">
      <c r="A267" s="58" t="s">
        <v>248</v>
      </c>
      <c r="B267" s="59" t="s">
        <v>318</v>
      </c>
      <c r="C267" s="60" t="s">
        <v>319</v>
      </c>
      <c r="D267" s="76" t="s">
        <v>21</v>
      </c>
      <c r="E267" s="61" t="s">
        <v>320</v>
      </c>
      <c r="F267" s="61">
        <f>E267*E261</f>
        <v>14.584023999999999</v>
      </c>
    </row>
    <row r="268" spans="1:6" x14ac:dyDescent="0.25">
      <c r="A268" s="58" t="s">
        <v>253</v>
      </c>
      <c r="B268" s="59" t="s">
        <v>323</v>
      </c>
      <c r="C268" s="60" t="s">
        <v>324</v>
      </c>
      <c r="D268" s="76" t="s">
        <v>21</v>
      </c>
      <c r="E268" s="61" t="s">
        <v>325</v>
      </c>
      <c r="F268" s="61">
        <f>E268*E261</f>
        <v>33.8602992</v>
      </c>
    </row>
    <row r="269" spans="1:6" x14ac:dyDescent="0.25">
      <c r="A269" s="58" t="s">
        <v>1008</v>
      </c>
      <c r="B269" s="59" t="s">
        <v>328</v>
      </c>
      <c r="C269" s="60" t="s">
        <v>329</v>
      </c>
      <c r="D269" s="76" t="s">
        <v>21</v>
      </c>
      <c r="E269" s="61" t="s">
        <v>330</v>
      </c>
      <c r="F269" s="61">
        <f>E269*E261</f>
        <v>4.5178770000000004</v>
      </c>
    </row>
    <row r="270" spans="1:6" ht="22.5" x14ac:dyDescent="0.25">
      <c r="A270" s="58" t="s">
        <v>1009</v>
      </c>
      <c r="B270" s="59" t="s">
        <v>239</v>
      </c>
      <c r="C270" s="60" t="s">
        <v>190</v>
      </c>
      <c r="D270" s="76" t="s">
        <v>21</v>
      </c>
      <c r="E270" s="61" t="s">
        <v>12</v>
      </c>
      <c r="F270" s="61">
        <f>E270*E261</f>
        <v>2.2827168000000002</v>
      </c>
    </row>
    <row r="271" spans="1:6" ht="22.5" x14ac:dyDescent="0.25">
      <c r="A271" s="58" t="s">
        <v>1811</v>
      </c>
      <c r="B271" s="59" t="s">
        <v>335</v>
      </c>
      <c r="C271" s="60" t="s">
        <v>336</v>
      </c>
      <c r="D271" s="76" t="s">
        <v>54</v>
      </c>
      <c r="E271" s="61" t="s">
        <v>337</v>
      </c>
      <c r="F271" s="61">
        <f>E271*E261</f>
        <v>160.89983000000001</v>
      </c>
    </row>
    <row r="272" spans="1:6" ht="22.5" x14ac:dyDescent="0.25">
      <c r="A272" s="58" t="s">
        <v>1812</v>
      </c>
      <c r="B272" s="59" t="s">
        <v>340</v>
      </c>
      <c r="C272" s="60" t="s">
        <v>341</v>
      </c>
      <c r="D272" s="76" t="s">
        <v>54</v>
      </c>
      <c r="E272" s="61" t="s">
        <v>342</v>
      </c>
      <c r="F272" s="61">
        <f>E272*E261</f>
        <v>1.0938018</v>
      </c>
    </row>
    <row r="273" spans="1:6" ht="22.5" x14ac:dyDescent="0.25">
      <c r="A273" s="58" t="s">
        <v>1813</v>
      </c>
      <c r="B273" s="59" t="s">
        <v>246</v>
      </c>
      <c r="C273" s="60" t="s">
        <v>194</v>
      </c>
      <c r="D273" s="76" t="s">
        <v>54</v>
      </c>
      <c r="E273" s="61" t="s">
        <v>270</v>
      </c>
      <c r="F273" s="61">
        <f>E273*E261</f>
        <v>31.7044</v>
      </c>
    </row>
    <row r="274" spans="1:6" ht="22.5" x14ac:dyDescent="0.25">
      <c r="A274" s="58" t="s">
        <v>1814</v>
      </c>
      <c r="B274" s="59" t="s">
        <v>249</v>
      </c>
      <c r="C274" s="60" t="s">
        <v>250</v>
      </c>
      <c r="D274" s="76" t="s">
        <v>60</v>
      </c>
      <c r="E274" s="61" t="s">
        <v>347</v>
      </c>
      <c r="F274" s="61">
        <f>E274*E261</f>
        <v>7.9261000000000002E-3</v>
      </c>
    </row>
    <row r="275" spans="1:6" ht="22.5" x14ac:dyDescent="0.25">
      <c r="A275" s="58" t="s">
        <v>1815</v>
      </c>
      <c r="B275" s="59" t="s">
        <v>350</v>
      </c>
      <c r="C275" s="60" t="s">
        <v>351</v>
      </c>
      <c r="D275" s="76" t="s">
        <v>60</v>
      </c>
      <c r="E275" s="61" t="s">
        <v>352</v>
      </c>
      <c r="F275" s="61">
        <f>E275*E261</f>
        <v>8.4016660000000003E-3</v>
      </c>
    </row>
    <row r="276" spans="1:6" ht="33.75" x14ac:dyDescent="0.25">
      <c r="A276" s="58" t="s">
        <v>1816</v>
      </c>
      <c r="B276" s="59" t="s">
        <v>355</v>
      </c>
      <c r="C276" s="60" t="s">
        <v>356</v>
      </c>
      <c r="D276" s="76" t="s">
        <v>54</v>
      </c>
      <c r="E276" s="61" t="s">
        <v>78</v>
      </c>
      <c r="F276" s="61">
        <f>E276*E261</f>
        <v>0.31704400000000005</v>
      </c>
    </row>
    <row r="277" spans="1:6" ht="22.5" x14ac:dyDescent="0.25">
      <c r="A277" s="58" t="s">
        <v>1817</v>
      </c>
      <c r="B277" s="59" t="s">
        <v>359</v>
      </c>
      <c r="C277" s="60" t="s">
        <v>360</v>
      </c>
      <c r="D277" s="76" t="s">
        <v>361</v>
      </c>
      <c r="E277" s="61" t="s">
        <v>362</v>
      </c>
      <c r="F277" s="61">
        <f>E277*E261</f>
        <v>8.4333704000000012</v>
      </c>
    </row>
    <row r="278" spans="1:6" ht="22.5" x14ac:dyDescent="0.25">
      <c r="A278" s="58" t="s">
        <v>1818</v>
      </c>
      <c r="B278" s="59" t="s">
        <v>365</v>
      </c>
      <c r="C278" s="60" t="s">
        <v>366</v>
      </c>
      <c r="D278" s="76" t="s">
        <v>367</v>
      </c>
      <c r="E278" s="61" t="s">
        <v>368</v>
      </c>
      <c r="F278" s="61">
        <f>E278*E261</f>
        <v>29.643613999999999</v>
      </c>
    </row>
    <row r="279" spans="1:6" x14ac:dyDescent="0.25">
      <c r="A279" s="55" t="s">
        <v>258</v>
      </c>
      <c r="B279" s="56" t="s">
        <v>1819</v>
      </c>
      <c r="C279" s="57" t="s">
        <v>1820</v>
      </c>
      <c r="D279" s="75" t="s">
        <v>107</v>
      </c>
      <c r="E279" s="122" t="s">
        <v>1922</v>
      </c>
      <c r="F279" s="123"/>
    </row>
    <row r="280" spans="1:6" x14ac:dyDescent="0.25">
      <c r="A280" s="58" t="s">
        <v>260</v>
      </c>
      <c r="B280" s="59" t="s">
        <v>34</v>
      </c>
      <c r="C280" s="60" t="s">
        <v>35</v>
      </c>
      <c r="D280" s="76" t="s">
        <v>16</v>
      </c>
      <c r="E280" s="61" t="s">
        <v>1821</v>
      </c>
      <c r="F280" s="61">
        <f>E280*E279</f>
        <v>3094.34944</v>
      </c>
    </row>
    <row r="281" spans="1:6" x14ac:dyDescent="0.25">
      <c r="A281" s="58" t="s">
        <v>262</v>
      </c>
      <c r="B281" s="59" t="s">
        <v>14</v>
      </c>
      <c r="C281" s="60" t="s">
        <v>15</v>
      </c>
      <c r="D281" s="76" t="s">
        <v>16</v>
      </c>
      <c r="E281" s="61" t="s">
        <v>1822</v>
      </c>
      <c r="F281" s="61">
        <f>E281*E279</f>
        <v>156.68314480000001</v>
      </c>
    </row>
    <row r="282" spans="1:6" x14ac:dyDescent="0.25">
      <c r="A282" s="58" t="s">
        <v>264</v>
      </c>
      <c r="B282" s="59" t="s">
        <v>303</v>
      </c>
      <c r="C282" s="60" t="s">
        <v>304</v>
      </c>
      <c r="D282" s="76" t="s">
        <v>21</v>
      </c>
      <c r="E282" s="61" t="s">
        <v>1823</v>
      </c>
      <c r="F282" s="61">
        <f>E282*E279</f>
        <v>122.50580160000001</v>
      </c>
    </row>
    <row r="283" spans="1:6" ht="33.75" x14ac:dyDescent="0.25">
      <c r="A283" s="58" t="s">
        <v>266</v>
      </c>
      <c r="B283" s="59" t="s">
        <v>308</v>
      </c>
      <c r="C283" s="60" t="s">
        <v>309</v>
      </c>
      <c r="D283" s="76" t="s">
        <v>21</v>
      </c>
      <c r="E283" s="61" t="s">
        <v>1824</v>
      </c>
      <c r="F283" s="61">
        <f>E283*E279</f>
        <v>47.810235200000001</v>
      </c>
    </row>
    <row r="284" spans="1:6" ht="33.75" x14ac:dyDescent="0.25">
      <c r="A284" s="58" t="s">
        <v>268</v>
      </c>
      <c r="B284" s="59" t="s">
        <v>313</v>
      </c>
      <c r="C284" s="60" t="s">
        <v>314</v>
      </c>
      <c r="D284" s="76" t="s">
        <v>21</v>
      </c>
      <c r="E284" s="61" t="s">
        <v>425</v>
      </c>
      <c r="F284" s="61">
        <f>E284*E279</f>
        <v>4.5020248</v>
      </c>
    </row>
    <row r="285" spans="1:6" ht="33.75" x14ac:dyDescent="0.25">
      <c r="A285" s="58" t="s">
        <v>1825</v>
      </c>
      <c r="B285" s="59" t="s">
        <v>318</v>
      </c>
      <c r="C285" s="60" t="s">
        <v>319</v>
      </c>
      <c r="D285" s="76" t="s">
        <v>21</v>
      </c>
      <c r="E285" s="61" t="s">
        <v>1826</v>
      </c>
      <c r="F285" s="61">
        <f>E285*E279</f>
        <v>60.23836</v>
      </c>
    </row>
    <row r="286" spans="1:6" x14ac:dyDescent="0.25">
      <c r="A286" s="58" t="s">
        <v>1827</v>
      </c>
      <c r="B286" s="59" t="s">
        <v>323</v>
      </c>
      <c r="C286" s="60" t="s">
        <v>324</v>
      </c>
      <c r="D286" s="76" t="s">
        <v>21</v>
      </c>
      <c r="E286" s="61" t="s">
        <v>1828</v>
      </c>
      <c r="F286" s="61">
        <f>E286*E279</f>
        <v>191.2409408</v>
      </c>
    </row>
    <row r="287" spans="1:6" x14ac:dyDescent="0.25">
      <c r="A287" s="58" t="s">
        <v>1829</v>
      </c>
      <c r="B287" s="59" t="s">
        <v>328</v>
      </c>
      <c r="C287" s="60" t="s">
        <v>329</v>
      </c>
      <c r="D287" s="76" t="s">
        <v>21</v>
      </c>
      <c r="E287" s="61" t="s">
        <v>1830</v>
      </c>
      <c r="F287" s="61">
        <f>E287*E279</f>
        <v>30.626450400000003</v>
      </c>
    </row>
    <row r="288" spans="1:6" ht="22.5" x14ac:dyDescent="0.25">
      <c r="A288" s="58" t="s">
        <v>1831</v>
      </c>
      <c r="B288" s="59" t="s">
        <v>239</v>
      </c>
      <c r="C288" s="60" t="s">
        <v>190</v>
      </c>
      <c r="D288" s="76" t="s">
        <v>21</v>
      </c>
      <c r="E288" s="61" t="s">
        <v>1832</v>
      </c>
      <c r="F288" s="61">
        <f>E288*E279</f>
        <v>13.506074399999999</v>
      </c>
    </row>
    <row r="289" spans="1:6" ht="22.5" x14ac:dyDescent="0.25">
      <c r="A289" s="58" t="s">
        <v>1833</v>
      </c>
      <c r="B289" s="59" t="s">
        <v>335</v>
      </c>
      <c r="C289" s="60" t="s">
        <v>336</v>
      </c>
      <c r="D289" s="76" t="s">
        <v>54</v>
      </c>
      <c r="E289" s="61" t="s">
        <v>337</v>
      </c>
      <c r="F289" s="61">
        <f>E289*E279</f>
        <v>643.59932000000003</v>
      </c>
    </row>
    <row r="290" spans="1:6" ht="22.5" x14ac:dyDescent="0.25">
      <c r="A290" s="58" t="s">
        <v>1834</v>
      </c>
      <c r="B290" s="59" t="s">
        <v>340</v>
      </c>
      <c r="C290" s="60" t="s">
        <v>341</v>
      </c>
      <c r="D290" s="76" t="s">
        <v>54</v>
      </c>
      <c r="E290" s="61" t="s">
        <v>1806</v>
      </c>
      <c r="F290" s="61">
        <f>E290*E279</f>
        <v>15.661973600000001</v>
      </c>
    </row>
    <row r="291" spans="1:6" ht="22.5" x14ac:dyDescent="0.25">
      <c r="A291" s="58" t="s">
        <v>1835</v>
      </c>
      <c r="B291" s="59" t="s">
        <v>246</v>
      </c>
      <c r="C291" s="60" t="s">
        <v>194</v>
      </c>
      <c r="D291" s="76" t="s">
        <v>54</v>
      </c>
      <c r="E291" s="61" t="s">
        <v>1600</v>
      </c>
      <c r="F291" s="61">
        <f>E291*E279</f>
        <v>450.20248000000004</v>
      </c>
    </row>
    <row r="292" spans="1:6" ht="22.5" x14ac:dyDescent="0.25">
      <c r="A292" s="58" t="s">
        <v>1836</v>
      </c>
      <c r="B292" s="59" t="s">
        <v>249</v>
      </c>
      <c r="C292" s="60" t="s">
        <v>250</v>
      </c>
      <c r="D292" s="76" t="s">
        <v>60</v>
      </c>
      <c r="E292" s="61" t="s">
        <v>1837</v>
      </c>
      <c r="F292" s="61">
        <f>E292*E279</f>
        <v>2.5363520000000001E-2</v>
      </c>
    </row>
    <row r="293" spans="1:6" ht="22.5" x14ac:dyDescent="0.25">
      <c r="A293" s="58" t="s">
        <v>1838</v>
      </c>
      <c r="B293" s="59" t="s">
        <v>350</v>
      </c>
      <c r="C293" s="60" t="s">
        <v>351</v>
      </c>
      <c r="D293" s="76" t="s">
        <v>60</v>
      </c>
      <c r="E293" s="61" t="s">
        <v>1839</v>
      </c>
      <c r="F293" s="61">
        <f>E293*E279</f>
        <v>5.7067920000000001E-2</v>
      </c>
    </row>
    <row r="294" spans="1:6" ht="33.75" x14ac:dyDescent="0.25">
      <c r="A294" s="58" t="s">
        <v>1840</v>
      </c>
      <c r="B294" s="59" t="s">
        <v>355</v>
      </c>
      <c r="C294" s="60" t="s">
        <v>356</v>
      </c>
      <c r="D294" s="76" t="s">
        <v>54</v>
      </c>
      <c r="E294" s="61" t="s">
        <v>520</v>
      </c>
      <c r="F294" s="61">
        <f>E294*E279</f>
        <v>1.0145408</v>
      </c>
    </row>
    <row r="295" spans="1:6" ht="22.5" x14ac:dyDescent="0.25">
      <c r="A295" s="58" t="s">
        <v>1841</v>
      </c>
      <c r="B295" s="59" t="s">
        <v>359</v>
      </c>
      <c r="C295" s="60" t="s">
        <v>360</v>
      </c>
      <c r="D295" s="76" t="s">
        <v>361</v>
      </c>
      <c r="E295" s="61" t="s">
        <v>292</v>
      </c>
      <c r="F295" s="61">
        <f>E295*E279</f>
        <v>152.18112000000002</v>
      </c>
    </row>
    <row r="296" spans="1:6" ht="22.5" x14ac:dyDescent="0.25">
      <c r="A296" s="58" t="s">
        <v>1842</v>
      </c>
      <c r="B296" s="59" t="s">
        <v>365</v>
      </c>
      <c r="C296" s="60" t="s">
        <v>366</v>
      </c>
      <c r="D296" s="76" t="s">
        <v>367</v>
      </c>
      <c r="E296" s="61" t="s">
        <v>1843</v>
      </c>
      <c r="F296" s="61">
        <f>E296*E279</f>
        <v>198.46954400000001</v>
      </c>
    </row>
    <row r="297" spans="1:6" ht="15" customHeight="1" x14ac:dyDescent="0.25">
      <c r="A297" s="62" t="s">
        <v>1940</v>
      </c>
      <c r="B297" s="63"/>
      <c r="C297" s="62" t="s">
        <v>1940</v>
      </c>
      <c r="D297" s="74"/>
      <c r="E297" s="63"/>
      <c r="F297" s="64"/>
    </row>
    <row r="298" spans="1:6" ht="22.5" x14ac:dyDescent="0.25">
      <c r="A298" s="55" t="s">
        <v>270</v>
      </c>
      <c r="B298" s="56" t="s">
        <v>1760</v>
      </c>
      <c r="C298" s="57" t="s">
        <v>1761</v>
      </c>
      <c r="D298" s="75" t="s">
        <v>107</v>
      </c>
      <c r="E298" s="122" t="s">
        <v>1941</v>
      </c>
      <c r="F298" s="123"/>
    </row>
    <row r="299" spans="1:6" x14ac:dyDescent="0.25">
      <c r="A299" s="58" t="s">
        <v>272</v>
      </c>
      <c r="B299" s="59" t="s">
        <v>34</v>
      </c>
      <c r="C299" s="60" t="s">
        <v>35</v>
      </c>
      <c r="D299" s="76" t="s">
        <v>16</v>
      </c>
      <c r="E299" s="61" t="s">
        <v>1762</v>
      </c>
      <c r="F299" s="61">
        <f>E299*E298</f>
        <v>236.44320000000002</v>
      </c>
    </row>
    <row r="300" spans="1:6" x14ac:dyDescent="0.25">
      <c r="A300" s="58" t="s">
        <v>274</v>
      </c>
      <c r="B300" s="59" t="s">
        <v>14</v>
      </c>
      <c r="C300" s="60" t="s">
        <v>15</v>
      </c>
      <c r="D300" s="76" t="s">
        <v>16</v>
      </c>
      <c r="E300" s="61" t="s">
        <v>1763</v>
      </c>
      <c r="F300" s="61">
        <f>E300*E298</f>
        <v>16.884714000000002</v>
      </c>
    </row>
    <row r="301" spans="1:6" ht="33.75" x14ac:dyDescent="0.25">
      <c r="A301" s="58" t="s">
        <v>1778</v>
      </c>
      <c r="B301" s="59" t="s">
        <v>308</v>
      </c>
      <c r="C301" s="60" t="s">
        <v>309</v>
      </c>
      <c r="D301" s="76" t="s">
        <v>21</v>
      </c>
      <c r="E301" s="61" t="s">
        <v>1764</v>
      </c>
      <c r="F301" s="61">
        <f>E301*E298</f>
        <v>3.0413459999999999</v>
      </c>
    </row>
    <row r="302" spans="1:6" ht="33.75" x14ac:dyDescent="0.25">
      <c r="A302" s="58" t="s">
        <v>1779</v>
      </c>
      <c r="B302" s="59" t="s">
        <v>313</v>
      </c>
      <c r="C302" s="60" t="s">
        <v>314</v>
      </c>
      <c r="D302" s="76" t="s">
        <v>21</v>
      </c>
      <c r="E302" s="61" t="s">
        <v>616</v>
      </c>
      <c r="F302" s="61">
        <f>E302*E298</f>
        <v>1.8686640000000001</v>
      </c>
    </row>
    <row r="303" spans="1:6" ht="33.75" x14ac:dyDescent="0.25">
      <c r="A303" s="58" t="s">
        <v>1780</v>
      </c>
      <c r="B303" s="59" t="s">
        <v>318</v>
      </c>
      <c r="C303" s="60" t="s">
        <v>319</v>
      </c>
      <c r="D303" s="76" t="s">
        <v>21</v>
      </c>
      <c r="E303" s="61" t="s">
        <v>1765</v>
      </c>
      <c r="F303" s="61">
        <f>E303*E298</f>
        <v>6.3782460000000007</v>
      </c>
    </row>
    <row r="304" spans="1:6" x14ac:dyDescent="0.25">
      <c r="A304" s="58" t="s">
        <v>1844</v>
      </c>
      <c r="B304" s="59" t="s">
        <v>323</v>
      </c>
      <c r="C304" s="60" t="s">
        <v>324</v>
      </c>
      <c r="D304" s="76" t="s">
        <v>21</v>
      </c>
      <c r="E304" s="61" t="s">
        <v>1766</v>
      </c>
      <c r="F304" s="61">
        <f>E304*E298</f>
        <v>6.7262370000000002</v>
      </c>
    </row>
    <row r="305" spans="1:6" x14ac:dyDescent="0.25">
      <c r="A305" s="58" t="s">
        <v>1845</v>
      </c>
      <c r="B305" s="59" t="s">
        <v>1757</v>
      </c>
      <c r="C305" s="60" t="s">
        <v>1758</v>
      </c>
      <c r="D305" s="76" t="s">
        <v>21</v>
      </c>
      <c r="E305" s="61" t="s">
        <v>1767</v>
      </c>
      <c r="F305" s="61">
        <f>E305*E298</f>
        <v>5.4296130000000007</v>
      </c>
    </row>
    <row r="306" spans="1:6" ht="22.5" x14ac:dyDescent="0.25">
      <c r="A306" s="58" t="s">
        <v>1949</v>
      </c>
      <c r="B306" s="59" t="s">
        <v>239</v>
      </c>
      <c r="C306" s="60" t="s">
        <v>190</v>
      </c>
      <c r="D306" s="76" t="s">
        <v>21</v>
      </c>
      <c r="E306" s="61" t="s">
        <v>1768</v>
      </c>
      <c r="F306" s="61">
        <f>E306*E298</f>
        <v>5.5964580000000002</v>
      </c>
    </row>
    <row r="307" spans="1:6" ht="22.5" x14ac:dyDescent="0.25">
      <c r="A307" s="58" t="s">
        <v>1951</v>
      </c>
      <c r="B307" s="59" t="s">
        <v>335</v>
      </c>
      <c r="C307" s="60" t="s">
        <v>336</v>
      </c>
      <c r="D307" s="76" t="s">
        <v>54</v>
      </c>
      <c r="E307" s="61" t="s">
        <v>337</v>
      </c>
      <c r="F307" s="61">
        <f>E307*E298</f>
        <v>48.38505</v>
      </c>
    </row>
    <row r="308" spans="1:6" ht="22.5" x14ac:dyDescent="0.25">
      <c r="A308" s="58" t="s">
        <v>1953</v>
      </c>
      <c r="B308" s="59" t="s">
        <v>340</v>
      </c>
      <c r="C308" s="60" t="s">
        <v>341</v>
      </c>
      <c r="D308" s="76" t="s">
        <v>54</v>
      </c>
      <c r="E308" s="61" t="s">
        <v>1769</v>
      </c>
      <c r="F308" s="61">
        <f>E308*E298</f>
        <v>1.2680220000000002</v>
      </c>
    </row>
    <row r="309" spans="1:6" ht="22.5" x14ac:dyDescent="0.25">
      <c r="A309" s="58" t="s">
        <v>1955</v>
      </c>
      <c r="B309" s="59" t="s">
        <v>246</v>
      </c>
      <c r="C309" s="60" t="s">
        <v>194</v>
      </c>
      <c r="D309" s="76" t="s">
        <v>54</v>
      </c>
      <c r="E309" s="61" t="s">
        <v>1330</v>
      </c>
      <c r="F309" s="61">
        <f>E309*E298</f>
        <v>22.404900000000001</v>
      </c>
    </row>
    <row r="310" spans="1:6" ht="22.5" x14ac:dyDescent="0.25">
      <c r="A310" s="58" t="s">
        <v>1957</v>
      </c>
      <c r="B310" s="59" t="s">
        <v>1796</v>
      </c>
      <c r="C310" s="60" t="s">
        <v>1032</v>
      </c>
      <c r="D310" s="76" t="s">
        <v>60</v>
      </c>
      <c r="E310" s="61" t="s">
        <v>1797</v>
      </c>
      <c r="F310" s="61">
        <f>E310*E298</f>
        <v>3.4799099999999999E-2</v>
      </c>
    </row>
    <row r="311" spans="1:6" ht="22.5" x14ac:dyDescent="0.25">
      <c r="A311" s="58" t="s">
        <v>1959</v>
      </c>
      <c r="B311" s="59" t="s">
        <v>249</v>
      </c>
      <c r="C311" s="60" t="s">
        <v>250</v>
      </c>
      <c r="D311" s="76" t="s">
        <v>60</v>
      </c>
      <c r="E311" s="61" t="s">
        <v>1770</v>
      </c>
      <c r="F311" s="61">
        <f>E311*E298</f>
        <v>6.2924400000000005E-2</v>
      </c>
    </row>
    <row r="312" spans="1:6" ht="22.5" x14ac:dyDescent="0.25">
      <c r="A312" s="58" t="s">
        <v>1961</v>
      </c>
      <c r="B312" s="59" t="s">
        <v>350</v>
      </c>
      <c r="C312" s="60" t="s">
        <v>351</v>
      </c>
      <c r="D312" s="76" t="s">
        <v>60</v>
      </c>
      <c r="E312" s="61" t="s">
        <v>1771</v>
      </c>
      <c r="F312" s="61">
        <f>E312*E298</f>
        <v>1.6684500000000001E-2</v>
      </c>
    </row>
    <row r="313" spans="1:6" ht="22.5" x14ac:dyDescent="0.25">
      <c r="A313" s="58" t="s">
        <v>1963</v>
      </c>
      <c r="B313" s="59" t="s">
        <v>1772</v>
      </c>
      <c r="C313" s="60" t="s">
        <v>1075</v>
      </c>
      <c r="D313" s="76" t="s">
        <v>60</v>
      </c>
      <c r="E313" s="61" t="s">
        <v>140</v>
      </c>
      <c r="F313" s="61">
        <f>E313*E298</f>
        <v>1.9068000000000002E-2</v>
      </c>
    </row>
    <row r="314" spans="1:6" ht="33.75" x14ac:dyDescent="0.25">
      <c r="A314" s="58" t="s">
        <v>1965</v>
      </c>
      <c r="B314" s="59" t="s">
        <v>1773</v>
      </c>
      <c r="C314" s="60" t="s">
        <v>1774</v>
      </c>
      <c r="D314" s="76" t="s">
        <v>54</v>
      </c>
      <c r="E314" s="61" t="s">
        <v>55</v>
      </c>
      <c r="F314" s="61">
        <f>E314*E298</f>
        <v>4.7670000000000004E-2</v>
      </c>
    </row>
    <row r="315" spans="1:6" ht="33.75" x14ac:dyDescent="0.25">
      <c r="A315" s="58" t="s">
        <v>1967</v>
      </c>
      <c r="B315" s="59" t="s">
        <v>1759</v>
      </c>
      <c r="C315" s="60" t="s">
        <v>1113</v>
      </c>
      <c r="D315" s="76" t="s">
        <v>54</v>
      </c>
      <c r="E315" s="61" t="s">
        <v>520</v>
      </c>
      <c r="F315" s="61">
        <f>E315*E298</f>
        <v>7.6272000000000006E-2</v>
      </c>
    </row>
    <row r="316" spans="1:6" s="92" customFormat="1" ht="33.75" x14ac:dyDescent="0.25">
      <c r="A316" s="93" t="s">
        <v>1969</v>
      </c>
      <c r="B316" s="94" t="s">
        <v>355</v>
      </c>
      <c r="C316" s="95" t="s">
        <v>356</v>
      </c>
      <c r="D316" s="96" t="s">
        <v>54</v>
      </c>
      <c r="E316" s="97" t="s">
        <v>1775</v>
      </c>
      <c r="F316" s="97">
        <f>E316*E298</f>
        <v>1.2251189999999998</v>
      </c>
    </row>
    <row r="317" spans="1:6" ht="22.5" x14ac:dyDescent="0.25">
      <c r="A317" s="58" t="s">
        <v>1971</v>
      </c>
      <c r="B317" s="59" t="s">
        <v>359</v>
      </c>
      <c r="C317" s="60" t="s">
        <v>360</v>
      </c>
      <c r="D317" s="76" t="s">
        <v>361</v>
      </c>
      <c r="E317" s="61" t="s">
        <v>80</v>
      </c>
      <c r="F317" s="61">
        <f>E317*E298</f>
        <v>2.8601999999999999</v>
      </c>
    </row>
    <row r="318" spans="1:6" ht="22.5" x14ac:dyDescent="0.25">
      <c r="A318" s="58" t="s">
        <v>1973</v>
      </c>
      <c r="B318" s="59" t="s">
        <v>365</v>
      </c>
      <c r="C318" s="60" t="s">
        <v>366</v>
      </c>
      <c r="D318" s="76" t="s">
        <v>367</v>
      </c>
      <c r="E318" s="61" t="s">
        <v>1776</v>
      </c>
      <c r="F318" s="61">
        <f>E318*E298</f>
        <v>60.254880000000007</v>
      </c>
    </row>
    <row r="319" spans="1:6" x14ac:dyDescent="0.25">
      <c r="A319" s="55" t="s">
        <v>275</v>
      </c>
      <c r="B319" s="56" t="s">
        <v>293</v>
      </c>
      <c r="C319" s="57" t="s">
        <v>294</v>
      </c>
      <c r="D319" s="75" t="s">
        <v>107</v>
      </c>
      <c r="E319" s="122" t="s">
        <v>1975</v>
      </c>
      <c r="F319" s="123"/>
    </row>
    <row r="320" spans="1:6" x14ac:dyDescent="0.25">
      <c r="A320" s="58" t="s">
        <v>276</v>
      </c>
      <c r="B320" s="59" t="s">
        <v>34</v>
      </c>
      <c r="C320" s="60" t="s">
        <v>35</v>
      </c>
      <c r="D320" s="76" t="s">
        <v>16</v>
      </c>
      <c r="E320" s="61" t="s">
        <v>297</v>
      </c>
      <c r="F320" s="61">
        <f>E320*E319</f>
        <v>242.48140000000001</v>
      </c>
    </row>
    <row r="321" spans="1:6" x14ac:dyDescent="0.25">
      <c r="A321" s="58" t="s">
        <v>278</v>
      </c>
      <c r="B321" s="59" t="s">
        <v>14</v>
      </c>
      <c r="C321" s="60" t="s">
        <v>15</v>
      </c>
      <c r="D321" s="76" t="s">
        <v>16</v>
      </c>
      <c r="E321" s="61" t="s">
        <v>300</v>
      </c>
      <c r="F321" s="61">
        <f>E321*E319</f>
        <v>21.467390000000002</v>
      </c>
    </row>
    <row r="322" spans="1:6" x14ac:dyDescent="0.25">
      <c r="A322" s="58" t="s">
        <v>279</v>
      </c>
      <c r="B322" s="59" t="s">
        <v>303</v>
      </c>
      <c r="C322" s="60" t="s">
        <v>304</v>
      </c>
      <c r="D322" s="76" t="s">
        <v>21</v>
      </c>
      <c r="E322" s="61" t="s">
        <v>305</v>
      </c>
      <c r="F322" s="61">
        <f>E322*E319</f>
        <v>12.68022</v>
      </c>
    </row>
    <row r="323" spans="1:6" ht="33.75" x14ac:dyDescent="0.25">
      <c r="A323" s="58" t="s">
        <v>1785</v>
      </c>
      <c r="B323" s="59" t="s">
        <v>308</v>
      </c>
      <c r="C323" s="60" t="s">
        <v>309</v>
      </c>
      <c r="D323" s="76" t="s">
        <v>21</v>
      </c>
      <c r="E323" s="61" t="s">
        <v>310</v>
      </c>
      <c r="F323" s="61">
        <f>E323*E319</f>
        <v>5.9396820000000004</v>
      </c>
    </row>
    <row r="324" spans="1:6" ht="33.75" x14ac:dyDescent="0.25">
      <c r="A324" s="58" t="s">
        <v>1787</v>
      </c>
      <c r="B324" s="59" t="s">
        <v>313</v>
      </c>
      <c r="C324" s="60" t="s">
        <v>314</v>
      </c>
      <c r="D324" s="76" t="s">
        <v>21</v>
      </c>
      <c r="E324" s="61" t="s">
        <v>315</v>
      </c>
      <c r="F324" s="61">
        <f>E324*E319</f>
        <v>0.53390400000000005</v>
      </c>
    </row>
    <row r="325" spans="1:6" ht="33.75" x14ac:dyDescent="0.25">
      <c r="A325" s="58" t="s">
        <v>1791</v>
      </c>
      <c r="B325" s="59" t="s">
        <v>318</v>
      </c>
      <c r="C325" s="60" t="s">
        <v>319</v>
      </c>
      <c r="D325" s="76" t="s">
        <v>21</v>
      </c>
      <c r="E325" s="61" t="s">
        <v>320</v>
      </c>
      <c r="F325" s="61">
        <f>E325*E319</f>
        <v>10.23316</v>
      </c>
    </row>
    <row r="326" spans="1:6" x14ac:dyDescent="0.25">
      <c r="A326" s="58" t="s">
        <v>1794</v>
      </c>
      <c r="B326" s="59" t="s">
        <v>323</v>
      </c>
      <c r="C326" s="60" t="s">
        <v>324</v>
      </c>
      <c r="D326" s="76" t="s">
        <v>21</v>
      </c>
      <c r="E326" s="61" t="s">
        <v>325</v>
      </c>
      <c r="F326" s="61">
        <f>E326*E319</f>
        <v>23.758728000000001</v>
      </c>
    </row>
    <row r="327" spans="1:6" x14ac:dyDescent="0.25">
      <c r="A327" s="58" t="s">
        <v>1846</v>
      </c>
      <c r="B327" s="59" t="s">
        <v>328</v>
      </c>
      <c r="C327" s="60" t="s">
        <v>329</v>
      </c>
      <c r="D327" s="76" t="s">
        <v>21</v>
      </c>
      <c r="E327" s="61" t="s">
        <v>330</v>
      </c>
      <c r="F327" s="61">
        <f>E327*E319</f>
        <v>3.1700550000000001</v>
      </c>
    </row>
    <row r="328" spans="1:6" ht="22.5" x14ac:dyDescent="0.25">
      <c r="A328" s="58" t="s">
        <v>1847</v>
      </c>
      <c r="B328" s="59" t="s">
        <v>239</v>
      </c>
      <c r="C328" s="60" t="s">
        <v>190</v>
      </c>
      <c r="D328" s="76" t="s">
        <v>21</v>
      </c>
      <c r="E328" s="61" t="s">
        <v>12</v>
      </c>
      <c r="F328" s="61">
        <f>E328*E319</f>
        <v>1.601712</v>
      </c>
    </row>
    <row r="329" spans="1:6" ht="22.5" x14ac:dyDescent="0.25">
      <c r="A329" s="58" t="s">
        <v>1848</v>
      </c>
      <c r="B329" s="59" t="s">
        <v>335</v>
      </c>
      <c r="C329" s="60" t="s">
        <v>336</v>
      </c>
      <c r="D329" s="76" t="s">
        <v>54</v>
      </c>
      <c r="E329" s="61" t="s">
        <v>337</v>
      </c>
      <c r="F329" s="61">
        <f>E329*E319</f>
        <v>112.89845000000001</v>
      </c>
    </row>
    <row r="330" spans="1:6" ht="22.5" x14ac:dyDescent="0.25">
      <c r="A330" s="58" t="s">
        <v>1849</v>
      </c>
      <c r="B330" s="59" t="s">
        <v>340</v>
      </c>
      <c r="C330" s="60" t="s">
        <v>341</v>
      </c>
      <c r="D330" s="76" t="s">
        <v>54</v>
      </c>
      <c r="E330" s="61" t="s">
        <v>342</v>
      </c>
      <c r="F330" s="61">
        <f>E330*E319</f>
        <v>0.76748700000000003</v>
      </c>
    </row>
    <row r="331" spans="1:6" ht="22.5" x14ac:dyDescent="0.25">
      <c r="A331" s="58" t="s">
        <v>1850</v>
      </c>
      <c r="B331" s="59" t="s">
        <v>246</v>
      </c>
      <c r="C331" s="60" t="s">
        <v>194</v>
      </c>
      <c r="D331" s="76" t="s">
        <v>54</v>
      </c>
      <c r="E331" s="61" t="s">
        <v>270</v>
      </c>
      <c r="F331" s="61">
        <f>E331*E319</f>
        <v>22.246000000000002</v>
      </c>
    </row>
    <row r="332" spans="1:6" ht="22.5" x14ac:dyDescent="0.25">
      <c r="A332" s="58" t="s">
        <v>1851</v>
      </c>
      <c r="B332" s="59" t="s">
        <v>249</v>
      </c>
      <c r="C332" s="60" t="s">
        <v>250</v>
      </c>
      <c r="D332" s="76" t="s">
        <v>60</v>
      </c>
      <c r="E332" s="61" t="s">
        <v>347</v>
      </c>
      <c r="F332" s="61">
        <f>E332*E319</f>
        <v>5.5615000000000005E-3</v>
      </c>
    </row>
    <row r="333" spans="1:6" ht="22.5" x14ac:dyDescent="0.25">
      <c r="A333" s="58" t="s">
        <v>1852</v>
      </c>
      <c r="B333" s="59" t="s">
        <v>350</v>
      </c>
      <c r="C333" s="60" t="s">
        <v>351</v>
      </c>
      <c r="D333" s="76" t="s">
        <v>60</v>
      </c>
      <c r="E333" s="61" t="s">
        <v>352</v>
      </c>
      <c r="F333" s="61">
        <f>E333*E319</f>
        <v>5.8951900000000007E-3</v>
      </c>
    </row>
    <row r="334" spans="1:6" ht="33.75" x14ac:dyDescent="0.25">
      <c r="A334" s="58" t="s">
        <v>1853</v>
      </c>
      <c r="B334" s="59" t="s">
        <v>355</v>
      </c>
      <c r="C334" s="60" t="s">
        <v>356</v>
      </c>
      <c r="D334" s="76" t="s">
        <v>54</v>
      </c>
      <c r="E334" s="61" t="s">
        <v>78</v>
      </c>
      <c r="F334" s="61">
        <f>E334*E319</f>
        <v>0.22246000000000002</v>
      </c>
    </row>
    <row r="335" spans="1:6" ht="22.5" x14ac:dyDescent="0.25">
      <c r="A335" s="58" t="s">
        <v>1854</v>
      </c>
      <c r="B335" s="59" t="s">
        <v>359</v>
      </c>
      <c r="C335" s="60" t="s">
        <v>360</v>
      </c>
      <c r="D335" s="76" t="s">
        <v>361</v>
      </c>
      <c r="E335" s="61" t="s">
        <v>362</v>
      </c>
      <c r="F335" s="61">
        <f>E335*E319</f>
        <v>5.9174360000000004</v>
      </c>
    </row>
    <row r="336" spans="1:6" ht="22.5" x14ac:dyDescent="0.25">
      <c r="A336" s="58" t="s">
        <v>1855</v>
      </c>
      <c r="B336" s="59" t="s">
        <v>365</v>
      </c>
      <c r="C336" s="60" t="s">
        <v>366</v>
      </c>
      <c r="D336" s="76" t="s">
        <v>367</v>
      </c>
      <c r="E336" s="61" t="s">
        <v>368</v>
      </c>
      <c r="F336" s="61">
        <f>E336*E319</f>
        <v>20.80001</v>
      </c>
    </row>
    <row r="337" spans="1:6" ht="15" customHeight="1" x14ac:dyDescent="0.25">
      <c r="A337" s="62" t="s">
        <v>1993</v>
      </c>
      <c r="B337" s="63"/>
      <c r="C337" s="62" t="s">
        <v>1993</v>
      </c>
      <c r="D337" s="74"/>
      <c r="E337" s="63"/>
      <c r="F337" s="64"/>
    </row>
    <row r="338" spans="1:6" ht="22.5" x14ac:dyDescent="0.25">
      <c r="A338" s="55" t="s">
        <v>281</v>
      </c>
      <c r="B338" s="56" t="s">
        <v>1760</v>
      </c>
      <c r="C338" s="57" t="s">
        <v>1761</v>
      </c>
      <c r="D338" s="75" t="s">
        <v>107</v>
      </c>
      <c r="E338" s="122" t="s">
        <v>1994</v>
      </c>
      <c r="F338" s="123"/>
    </row>
    <row r="339" spans="1:6" x14ac:dyDescent="0.25">
      <c r="A339" s="58" t="s">
        <v>284</v>
      </c>
      <c r="B339" s="59" t="s">
        <v>34</v>
      </c>
      <c r="C339" s="60" t="s">
        <v>35</v>
      </c>
      <c r="D339" s="76" t="s">
        <v>16</v>
      </c>
      <c r="E339" s="61" t="s">
        <v>1762</v>
      </c>
      <c r="F339" s="61">
        <f>E339*E338</f>
        <v>3440.53872</v>
      </c>
    </row>
    <row r="340" spans="1:6" x14ac:dyDescent="0.25">
      <c r="A340" s="58" t="s">
        <v>287</v>
      </c>
      <c r="B340" s="59" t="s">
        <v>14</v>
      </c>
      <c r="C340" s="60" t="s">
        <v>15</v>
      </c>
      <c r="D340" s="76" t="s">
        <v>16</v>
      </c>
      <c r="E340" s="61" t="s">
        <v>1763</v>
      </c>
      <c r="F340" s="61">
        <f>E340*E338</f>
        <v>245.6933094</v>
      </c>
    </row>
    <row r="341" spans="1:6" ht="33.75" x14ac:dyDescent="0.25">
      <c r="A341" s="58" t="s">
        <v>1856</v>
      </c>
      <c r="B341" s="59" t="s">
        <v>308</v>
      </c>
      <c r="C341" s="60" t="s">
        <v>309</v>
      </c>
      <c r="D341" s="76" t="s">
        <v>21</v>
      </c>
      <c r="E341" s="61" t="s">
        <v>1764</v>
      </c>
      <c r="F341" s="61">
        <f>E341*E338</f>
        <v>44.2553166</v>
      </c>
    </row>
    <row r="342" spans="1:6" ht="33.75" x14ac:dyDescent="0.25">
      <c r="A342" s="58" t="s">
        <v>1858</v>
      </c>
      <c r="B342" s="59" t="s">
        <v>313</v>
      </c>
      <c r="C342" s="60" t="s">
        <v>314</v>
      </c>
      <c r="D342" s="76" t="s">
        <v>21</v>
      </c>
      <c r="E342" s="61" t="s">
        <v>616</v>
      </c>
      <c r="F342" s="61">
        <f>E342*E338</f>
        <v>27.191354399999998</v>
      </c>
    </row>
    <row r="343" spans="1:6" ht="33.75" x14ac:dyDescent="0.25">
      <c r="A343" s="58" t="s">
        <v>1859</v>
      </c>
      <c r="B343" s="59" t="s">
        <v>318</v>
      </c>
      <c r="C343" s="60" t="s">
        <v>319</v>
      </c>
      <c r="D343" s="76" t="s">
        <v>21</v>
      </c>
      <c r="E343" s="61" t="s">
        <v>1765</v>
      </c>
      <c r="F343" s="61">
        <f>E343*E338</f>
        <v>92.811306599999995</v>
      </c>
    </row>
    <row r="344" spans="1:6" x14ac:dyDescent="0.25">
      <c r="A344" s="58" t="s">
        <v>1860</v>
      </c>
      <c r="B344" s="59" t="s">
        <v>323</v>
      </c>
      <c r="C344" s="60" t="s">
        <v>324</v>
      </c>
      <c r="D344" s="76" t="s">
        <v>21</v>
      </c>
      <c r="E344" s="61" t="s">
        <v>1766</v>
      </c>
      <c r="F344" s="61">
        <f>E344*E338</f>
        <v>97.875002699999996</v>
      </c>
    </row>
    <row r="345" spans="1:6" x14ac:dyDescent="0.25">
      <c r="A345" s="58" t="s">
        <v>1861</v>
      </c>
      <c r="B345" s="59" t="s">
        <v>1757</v>
      </c>
      <c r="C345" s="60" t="s">
        <v>1758</v>
      </c>
      <c r="D345" s="76" t="s">
        <v>21</v>
      </c>
      <c r="E345" s="61" t="s">
        <v>1767</v>
      </c>
      <c r="F345" s="61">
        <f>E345*E338</f>
        <v>79.007532299999994</v>
      </c>
    </row>
    <row r="346" spans="1:6" ht="22.5" x14ac:dyDescent="0.25">
      <c r="A346" s="58" t="s">
        <v>1862</v>
      </c>
      <c r="B346" s="59" t="s">
        <v>239</v>
      </c>
      <c r="C346" s="60" t="s">
        <v>190</v>
      </c>
      <c r="D346" s="76" t="s">
        <v>21</v>
      </c>
      <c r="E346" s="61" t="s">
        <v>1768</v>
      </c>
      <c r="F346" s="61">
        <f>E346*E338</f>
        <v>81.4353318</v>
      </c>
    </row>
    <row r="347" spans="1:6" ht="22.5" x14ac:dyDescent="0.25">
      <c r="A347" s="58" t="s">
        <v>1863</v>
      </c>
      <c r="B347" s="59" t="s">
        <v>335</v>
      </c>
      <c r="C347" s="60" t="s">
        <v>336</v>
      </c>
      <c r="D347" s="76" t="s">
        <v>54</v>
      </c>
      <c r="E347" s="61" t="s">
        <v>337</v>
      </c>
      <c r="F347" s="61">
        <f>E347*E338</f>
        <v>704.06185499999992</v>
      </c>
    </row>
    <row r="348" spans="1:6" ht="22.5" x14ac:dyDescent="0.25">
      <c r="A348" s="58" t="s">
        <v>1864</v>
      </c>
      <c r="B348" s="59" t="s">
        <v>340</v>
      </c>
      <c r="C348" s="60" t="s">
        <v>341</v>
      </c>
      <c r="D348" s="76" t="s">
        <v>54</v>
      </c>
      <c r="E348" s="61" t="s">
        <v>1769</v>
      </c>
      <c r="F348" s="61">
        <f>E348*E338</f>
        <v>18.451276199999999</v>
      </c>
    </row>
    <row r="349" spans="1:6" ht="22.5" x14ac:dyDescent="0.25">
      <c r="A349" s="58" t="s">
        <v>1865</v>
      </c>
      <c r="B349" s="59" t="s">
        <v>246</v>
      </c>
      <c r="C349" s="60" t="s">
        <v>194</v>
      </c>
      <c r="D349" s="76" t="s">
        <v>54</v>
      </c>
      <c r="E349" s="61" t="s">
        <v>1330</v>
      </c>
      <c r="F349" s="61">
        <f>E349*E338</f>
        <v>326.01878999999997</v>
      </c>
    </row>
    <row r="350" spans="1:6" ht="22.5" x14ac:dyDescent="0.25">
      <c r="A350" s="58" t="s">
        <v>2006</v>
      </c>
      <c r="B350" s="59" t="s">
        <v>1796</v>
      </c>
      <c r="C350" s="60" t="s">
        <v>1032</v>
      </c>
      <c r="D350" s="76" t="s">
        <v>60</v>
      </c>
      <c r="E350" s="61" t="s">
        <v>1797</v>
      </c>
      <c r="F350" s="61">
        <f>E350*E338</f>
        <v>0.50636960999999991</v>
      </c>
    </row>
    <row r="351" spans="1:6" ht="22.5" x14ac:dyDescent="0.25">
      <c r="A351" s="58" t="s">
        <v>1866</v>
      </c>
      <c r="B351" s="59" t="s">
        <v>249</v>
      </c>
      <c r="C351" s="60" t="s">
        <v>250</v>
      </c>
      <c r="D351" s="76" t="s">
        <v>60</v>
      </c>
      <c r="E351" s="61" t="s">
        <v>1770</v>
      </c>
      <c r="F351" s="61">
        <f>E351*E338</f>
        <v>0.91562723999999995</v>
      </c>
    </row>
    <row r="352" spans="1:6" ht="22.5" x14ac:dyDescent="0.25">
      <c r="A352" s="58" t="s">
        <v>2009</v>
      </c>
      <c r="B352" s="59" t="s">
        <v>350</v>
      </c>
      <c r="C352" s="60" t="s">
        <v>351</v>
      </c>
      <c r="D352" s="76" t="s">
        <v>60</v>
      </c>
      <c r="E352" s="61" t="s">
        <v>1771</v>
      </c>
      <c r="F352" s="61">
        <f>E352*E338</f>
        <v>0.24277995000000002</v>
      </c>
    </row>
    <row r="353" spans="1:6" ht="22.5" x14ac:dyDescent="0.25">
      <c r="A353" s="58" t="s">
        <v>1867</v>
      </c>
      <c r="B353" s="59" t="s">
        <v>1772</v>
      </c>
      <c r="C353" s="60" t="s">
        <v>1075</v>
      </c>
      <c r="D353" s="76" t="s">
        <v>60</v>
      </c>
      <c r="E353" s="61" t="s">
        <v>140</v>
      </c>
      <c r="F353" s="61">
        <f>E353*E338</f>
        <v>0.27746280000000001</v>
      </c>
    </row>
    <row r="354" spans="1:6" ht="33.75" x14ac:dyDescent="0.25">
      <c r="A354" s="58" t="s">
        <v>2012</v>
      </c>
      <c r="B354" s="59" t="s">
        <v>1773</v>
      </c>
      <c r="C354" s="60" t="s">
        <v>1774</v>
      </c>
      <c r="D354" s="76" t="s">
        <v>54</v>
      </c>
      <c r="E354" s="61" t="s">
        <v>55</v>
      </c>
      <c r="F354" s="61">
        <f>E354*E338</f>
        <v>0.69365699999999997</v>
      </c>
    </row>
    <row r="355" spans="1:6" ht="33.75" x14ac:dyDescent="0.25">
      <c r="A355" s="58" t="s">
        <v>1868</v>
      </c>
      <c r="B355" s="59" t="s">
        <v>1759</v>
      </c>
      <c r="C355" s="60" t="s">
        <v>1113</v>
      </c>
      <c r="D355" s="76" t="s">
        <v>54</v>
      </c>
      <c r="E355" s="61" t="s">
        <v>520</v>
      </c>
      <c r="F355" s="61">
        <f>E355*E338</f>
        <v>1.1098512</v>
      </c>
    </row>
    <row r="356" spans="1:6" ht="33.75" x14ac:dyDescent="0.25">
      <c r="A356" s="58" t="s">
        <v>2015</v>
      </c>
      <c r="B356" s="59" t="s">
        <v>355</v>
      </c>
      <c r="C356" s="60" t="s">
        <v>356</v>
      </c>
      <c r="D356" s="76" t="s">
        <v>54</v>
      </c>
      <c r="E356" s="61" t="s">
        <v>1775</v>
      </c>
      <c r="F356" s="61">
        <f>E356*E338</f>
        <v>17.826984899999999</v>
      </c>
    </row>
    <row r="357" spans="1:6" ht="22.5" x14ac:dyDescent="0.25">
      <c r="A357" s="58" t="s">
        <v>1869</v>
      </c>
      <c r="B357" s="59" t="s">
        <v>359</v>
      </c>
      <c r="C357" s="60" t="s">
        <v>360</v>
      </c>
      <c r="D357" s="76" t="s">
        <v>361</v>
      </c>
      <c r="E357" s="61" t="s">
        <v>80</v>
      </c>
      <c r="F357" s="61">
        <f>E357*E338</f>
        <v>41.619419999999998</v>
      </c>
    </row>
    <row r="358" spans="1:6" ht="22.5" x14ac:dyDescent="0.25">
      <c r="A358" s="58" t="s">
        <v>2018</v>
      </c>
      <c r="B358" s="59" t="s">
        <v>365</v>
      </c>
      <c r="C358" s="60" t="s">
        <v>366</v>
      </c>
      <c r="D358" s="76" t="s">
        <v>367</v>
      </c>
      <c r="E358" s="61" t="s">
        <v>1776</v>
      </c>
      <c r="F358" s="61">
        <f>E358*E338</f>
        <v>876.78244800000004</v>
      </c>
    </row>
    <row r="359" spans="1:6" x14ac:dyDescent="0.25">
      <c r="A359" s="55" t="s">
        <v>288</v>
      </c>
      <c r="B359" s="56" t="s">
        <v>293</v>
      </c>
      <c r="C359" s="57" t="s">
        <v>294</v>
      </c>
      <c r="D359" s="75" t="s">
        <v>107</v>
      </c>
      <c r="E359" s="122" t="s">
        <v>2020</v>
      </c>
      <c r="F359" s="123"/>
    </row>
    <row r="360" spans="1:6" x14ac:dyDescent="0.25">
      <c r="A360" s="58" t="s">
        <v>289</v>
      </c>
      <c r="B360" s="59" t="s">
        <v>34</v>
      </c>
      <c r="C360" s="60" t="s">
        <v>35</v>
      </c>
      <c r="D360" s="76" t="s">
        <v>16</v>
      </c>
      <c r="E360" s="61" t="s">
        <v>297</v>
      </c>
      <c r="F360" s="61">
        <f>E360*E359</f>
        <v>3528.4019400000002</v>
      </c>
    </row>
    <row r="361" spans="1:6" x14ac:dyDescent="0.25">
      <c r="A361" s="58" t="s">
        <v>291</v>
      </c>
      <c r="B361" s="59" t="s">
        <v>14</v>
      </c>
      <c r="C361" s="60" t="s">
        <v>15</v>
      </c>
      <c r="D361" s="76" t="s">
        <v>16</v>
      </c>
      <c r="E361" s="61" t="s">
        <v>300</v>
      </c>
      <c r="F361" s="61">
        <f>E361*E359</f>
        <v>312.376869</v>
      </c>
    </row>
    <row r="362" spans="1:6" x14ac:dyDescent="0.25">
      <c r="A362" s="58" t="s">
        <v>1024</v>
      </c>
      <c r="B362" s="59" t="s">
        <v>303</v>
      </c>
      <c r="C362" s="60" t="s">
        <v>304</v>
      </c>
      <c r="D362" s="76" t="s">
        <v>21</v>
      </c>
      <c r="E362" s="61" t="s">
        <v>305</v>
      </c>
      <c r="F362" s="61">
        <f>E362*E359</f>
        <v>184.51276200000001</v>
      </c>
    </row>
    <row r="363" spans="1:6" ht="33.75" x14ac:dyDescent="0.25">
      <c r="A363" s="58" t="s">
        <v>1026</v>
      </c>
      <c r="B363" s="59" t="s">
        <v>308</v>
      </c>
      <c r="C363" s="60" t="s">
        <v>309</v>
      </c>
      <c r="D363" s="76" t="s">
        <v>21</v>
      </c>
      <c r="E363" s="61" t="s">
        <v>310</v>
      </c>
      <c r="F363" s="61">
        <f>E363*E359</f>
        <v>86.429662199999996</v>
      </c>
    </row>
    <row r="364" spans="1:6" ht="33.75" x14ac:dyDescent="0.25">
      <c r="A364" s="58" t="s">
        <v>1029</v>
      </c>
      <c r="B364" s="59" t="s">
        <v>313</v>
      </c>
      <c r="C364" s="60" t="s">
        <v>314</v>
      </c>
      <c r="D364" s="76" t="s">
        <v>21</v>
      </c>
      <c r="E364" s="61" t="s">
        <v>315</v>
      </c>
      <c r="F364" s="61">
        <f>E364*E359</f>
        <v>7.7689583999999998</v>
      </c>
    </row>
    <row r="365" spans="1:6" ht="33.75" x14ac:dyDescent="0.25">
      <c r="A365" s="58" t="s">
        <v>1030</v>
      </c>
      <c r="B365" s="59" t="s">
        <v>318</v>
      </c>
      <c r="C365" s="60" t="s">
        <v>319</v>
      </c>
      <c r="D365" s="76" t="s">
        <v>21</v>
      </c>
      <c r="E365" s="61" t="s">
        <v>320</v>
      </c>
      <c r="F365" s="61">
        <f>E365*E359</f>
        <v>148.905036</v>
      </c>
    </row>
    <row r="366" spans="1:6" x14ac:dyDescent="0.25">
      <c r="A366" s="58" t="s">
        <v>1033</v>
      </c>
      <c r="B366" s="59" t="s">
        <v>323</v>
      </c>
      <c r="C366" s="60" t="s">
        <v>324</v>
      </c>
      <c r="D366" s="76" t="s">
        <v>21</v>
      </c>
      <c r="E366" s="61" t="s">
        <v>325</v>
      </c>
      <c r="F366" s="61">
        <f>E366*E359</f>
        <v>345.71864879999998</v>
      </c>
    </row>
    <row r="367" spans="1:6" x14ac:dyDescent="0.25">
      <c r="A367" s="58" t="s">
        <v>1034</v>
      </c>
      <c r="B367" s="59" t="s">
        <v>328</v>
      </c>
      <c r="C367" s="60" t="s">
        <v>329</v>
      </c>
      <c r="D367" s="76" t="s">
        <v>21</v>
      </c>
      <c r="E367" s="61" t="s">
        <v>330</v>
      </c>
      <c r="F367" s="61">
        <f>E367*E359</f>
        <v>46.128190500000002</v>
      </c>
    </row>
    <row r="368" spans="1:6" ht="22.5" x14ac:dyDescent="0.25">
      <c r="A368" s="58" t="s">
        <v>1037</v>
      </c>
      <c r="B368" s="59" t="s">
        <v>239</v>
      </c>
      <c r="C368" s="60" t="s">
        <v>190</v>
      </c>
      <c r="D368" s="76" t="s">
        <v>21</v>
      </c>
      <c r="E368" s="61" t="s">
        <v>12</v>
      </c>
      <c r="F368" s="61">
        <f>E368*E359</f>
        <v>23.3068752</v>
      </c>
    </row>
    <row r="369" spans="1:6" ht="22.5" x14ac:dyDescent="0.25">
      <c r="A369" s="58" t="s">
        <v>1038</v>
      </c>
      <c r="B369" s="59" t="s">
        <v>335</v>
      </c>
      <c r="C369" s="60" t="s">
        <v>336</v>
      </c>
      <c r="D369" s="76" t="s">
        <v>54</v>
      </c>
      <c r="E369" s="61" t="s">
        <v>337</v>
      </c>
      <c r="F369" s="61">
        <f>E369*E359</f>
        <v>1642.810995</v>
      </c>
    </row>
    <row r="370" spans="1:6" ht="22.5" x14ac:dyDescent="0.25">
      <c r="A370" s="58" t="s">
        <v>1870</v>
      </c>
      <c r="B370" s="59" t="s">
        <v>340</v>
      </c>
      <c r="C370" s="60" t="s">
        <v>341</v>
      </c>
      <c r="D370" s="76" t="s">
        <v>54</v>
      </c>
      <c r="E370" s="61" t="s">
        <v>342</v>
      </c>
      <c r="F370" s="61">
        <f>E370*E359</f>
        <v>11.1678777</v>
      </c>
    </row>
    <row r="371" spans="1:6" ht="22.5" x14ac:dyDescent="0.25">
      <c r="A371" s="58" t="s">
        <v>1871</v>
      </c>
      <c r="B371" s="59" t="s">
        <v>246</v>
      </c>
      <c r="C371" s="60" t="s">
        <v>194</v>
      </c>
      <c r="D371" s="76" t="s">
        <v>54</v>
      </c>
      <c r="E371" s="61" t="s">
        <v>270</v>
      </c>
      <c r="F371" s="61">
        <f>E371*E359</f>
        <v>323.70659999999998</v>
      </c>
    </row>
    <row r="372" spans="1:6" ht="22.5" x14ac:dyDescent="0.25">
      <c r="A372" s="58" t="s">
        <v>1872</v>
      </c>
      <c r="B372" s="59" t="s">
        <v>249</v>
      </c>
      <c r="C372" s="60" t="s">
        <v>250</v>
      </c>
      <c r="D372" s="76" t="s">
        <v>60</v>
      </c>
      <c r="E372" s="61" t="s">
        <v>347</v>
      </c>
      <c r="F372" s="61">
        <f>E372*E359</f>
        <v>8.0926650000000003E-2</v>
      </c>
    </row>
    <row r="373" spans="1:6" ht="22.5" x14ac:dyDescent="0.25">
      <c r="A373" s="58" t="s">
        <v>1873</v>
      </c>
      <c r="B373" s="59" t="s">
        <v>350</v>
      </c>
      <c r="C373" s="60" t="s">
        <v>351</v>
      </c>
      <c r="D373" s="76" t="s">
        <v>60</v>
      </c>
      <c r="E373" s="61" t="s">
        <v>352</v>
      </c>
      <c r="F373" s="61">
        <f>E373*E359</f>
        <v>8.5782249000000005E-2</v>
      </c>
    </row>
    <row r="374" spans="1:6" ht="33.75" x14ac:dyDescent="0.25">
      <c r="A374" s="58" t="s">
        <v>1874</v>
      </c>
      <c r="B374" s="59" t="s">
        <v>355</v>
      </c>
      <c r="C374" s="60" t="s">
        <v>356</v>
      </c>
      <c r="D374" s="76" t="s">
        <v>54</v>
      </c>
      <c r="E374" s="61" t="s">
        <v>78</v>
      </c>
      <c r="F374" s="61">
        <f>E374*E359</f>
        <v>3.2370660000000004</v>
      </c>
    </row>
    <row r="375" spans="1:6" ht="22.5" x14ac:dyDescent="0.25">
      <c r="A375" s="58" t="s">
        <v>1875</v>
      </c>
      <c r="B375" s="59" t="s">
        <v>359</v>
      </c>
      <c r="C375" s="60" t="s">
        <v>360</v>
      </c>
      <c r="D375" s="76" t="s">
        <v>361</v>
      </c>
      <c r="E375" s="61" t="s">
        <v>362</v>
      </c>
      <c r="F375" s="61">
        <f>E375*E359</f>
        <v>86.105955600000001</v>
      </c>
    </row>
    <row r="376" spans="1:6" ht="22.5" x14ac:dyDescent="0.25">
      <c r="A376" s="58" t="s">
        <v>1876</v>
      </c>
      <c r="B376" s="59" t="s">
        <v>365</v>
      </c>
      <c r="C376" s="60" t="s">
        <v>366</v>
      </c>
      <c r="D376" s="76" t="s">
        <v>367</v>
      </c>
      <c r="E376" s="61" t="s">
        <v>368</v>
      </c>
      <c r="F376" s="61">
        <f>E376*E359</f>
        <v>302.66567099999997</v>
      </c>
    </row>
    <row r="377" spans="1:6" ht="15" customHeight="1" x14ac:dyDescent="0.25">
      <c r="A377" s="62" t="s">
        <v>2038</v>
      </c>
      <c r="B377" s="63"/>
      <c r="C377" s="62" t="s">
        <v>2038</v>
      </c>
      <c r="D377" s="74"/>
      <c r="E377" s="63"/>
      <c r="F377" s="64"/>
    </row>
    <row r="378" spans="1:6" ht="22.5" x14ac:dyDescent="0.25">
      <c r="A378" s="55" t="s">
        <v>292</v>
      </c>
      <c r="B378" s="56" t="s">
        <v>1760</v>
      </c>
      <c r="C378" s="57" t="s">
        <v>1761</v>
      </c>
      <c r="D378" s="75" t="s">
        <v>107</v>
      </c>
      <c r="E378" s="122" t="s">
        <v>2039</v>
      </c>
      <c r="F378" s="123"/>
    </row>
    <row r="379" spans="1:6" x14ac:dyDescent="0.25">
      <c r="A379" s="58" t="s">
        <v>296</v>
      </c>
      <c r="B379" s="59" t="s">
        <v>34</v>
      </c>
      <c r="C379" s="60" t="s">
        <v>35</v>
      </c>
      <c r="D379" s="76" t="s">
        <v>16</v>
      </c>
      <c r="E379" s="61" t="s">
        <v>1762</v>
      </c>
      <c r="F379" s="61">
        <f>E379*E378</f>
        <v>393.53135999999995</v>
      </c>
    </row>
    <row r="380" spans="1:6" x14ac:dyDescent="0.25">
      <c r="A380" s="58" t="s">
        <v>299</v>
      </c>
      <c r="B380" s="59" t="s">
        <v>14</v>
      </c>
      <c r="C380" s="60" t="s">
        <v>15</v>
      </c>
      <c r="D380" s="76" t="s">
        <v>16</v>
      </c>
      <c r="E380" s="61" t="s">
        <v>1763</v>
      </c>
      <c r="F380" s="61">
        <f>E380*E378</f>
        <v>28.102582200000001</v>
      </c>
    </row>
    <row r="381" spans="1:6" ht="33.75" x14ac:dyDescent="0.25">
      <c r="A381" s="58" t="s">
        <v>302</v>
      </c>
      <c r="B381" s="59" t="s">
        <v>308</v>
      </c>
      <c r="C381" s="60" t="s">
        <v>309</v>
      </c>
      <c r="D381" s="76" t="s">
        <v>21</v>
      </c>
      <c r="E381" s="61" t="s">
        <v>1764</v>
      </c>
      <c r="F381" s="61">
        <f>E381*E378</f>
        <v>5.0619557999999998</v>
      </c>
    </row>
    <row r="382" spans="1:6" ht="33.75" x14ac:dyDescent="0.25">
      <c r="A382" s="58" t="s">
        <v>307</v>
      </c>
      <c r="B382" s="59" t="s">
        <v>313</v>
      </c>
      <c r="C382" s="60" t="s">
        <v>314</v>
      </c>
      <c r="D382" s="76" t="s">
        <v>21</v>
      </c>
      <c r="E382" s="61" t="s">
        <v>616</v>
      </c>
      <c r="F382" s="61">
        <f>E382*E378</f>
        <v>3.1101671999999998</v>
      </c>
    </row>
    <row r="383" spans="1:6" ht="33.75" x14ac:dyDescent="0.25">
      <c r="A383" s="58" t="s">
        <v>312</v>
      </c>
      <c r="B383" s="59" t="s">
        <v>318</v>
      </c>
      <c r="C383" s="60" t="s">
        <v>319</v>
      </c>
      <c r="D383" s="76" t="s">
        <v>21</v>
      </c>
      <c r="E383" s="61" t="s">
        <v>1765</v>
      </c>
      <c r="F383" s="61">
        <f>E383*E378</f>
        <v>10.6158258</v>
      </c>
    </row>
    <row r="384" spans="1:6" x14ac:dyDescent="0.25">
      <c r="A384" s="58" t="s">
        <v>317</v>
      </c>
      <c r="B384" s="59" t="s">
        <v>323</v>
      </c>
      <c r="C384" s="60" t="s">
        <v>324</v>
      </c>
      <c r="D384" s="76" t="s">
        <v>21</v>
      </c>
      <c r="E384" s="61" t="s">
        <v>1766</v>
      </c>
      <c r="F384" s="61">
        <f>E384*E378</f>
        <v>11.195015099999999</v>
      </c>
    </row>
    <row r="385" spans="1:6" x14ac:dyDescent="0.25">
      <c r="A385" s="58" t="s">
        <v>322</v>
      </c>
      <c r="B385" s="59" t="s">
        <v>1757</v>
      </c>
      <c r="C385" s="60" t="s">
        <v>1758</v>
      </c>
      <c r="D385" s="76" t="s">
        <v>21</v>
      </c>
      <c r="E385" s="61" t="s">
        <v>1767</v>
      </c>
      <c r="F385" s="61">
        <f>E385*E378</f>
        <v>9.0369399000000001</v>
      </c>
    </row>
    <row r="386" spans="1:6" ht="22.5" x14ac:dyDescent="0.25">
      <c r="A386" s="58" t="s">
        <v>327</v>
      </c>
      <c r="B386" s="59" t="s">
        <v>239</v>
      </c>
      <c r="C386" s="60" t="s">
        <v>190</v>
      </c>
      <c r="D386" s="76" t="s">
        <v>21</v>
      </c>
      <c r="E386" s="61" t="s">
        <v>1768</v>
      </c>
      <c r="F386" s="61">
        <f>E386*E378</f>
        <v>9.3146334</v>
      </c>
    </row>
    <row r="387" spans="1:6" ht="22.5" x14ac:dyDescent="0.25">
      <c r="A387" s="58" t="s">
        <v>332</v>
      </c>
      <c r="B387" s="59" t="s">
        <v>335</v>
      </c>
      <c r="C387" s="60" t="s">
        <v>336</v>
      </c>
      <c r="D387" s="76" t="s">
        <v>54</v>
      </c>
      <c r="E387" s="61" t="s">
        <v>337</v>
      </c>
      <c r="F387" s="61">
        <f>E387*E378</f>
        <v>80.531115</v>
      </c>
    </row>
    <row r="388" spans="1:6" ht="22.5" x14ac:dyDescent="0.25">
      <c r="A388" s="58" t="s">
        <v>334</v>
      </c>
      <c r="B388" s="59" t="s">
        <v>340</v>
      </c>
      <c r="C388" s="60" t="s">
        <v>341</v>
      </c>
      <c r="D388" s="76" t="s">
        <v>54</v>
      </c>
      <c r="E388" s="61" t="s">
        <v>1769</v>
      </c>
      <c r="F388" s="61">
        <f>E388*E378</f>
        <v>2.1104706000000002</v>
      </c>
    </row>
    <row r="389" spans="1:6" ht="22.5" x14ac:dyDescent="0.25">
      <c r="A389" s="58" t="s">
        <v>339</v>
      </c>
      <c r="B389" s="59" t="s">
        <v>246</v>
      </c>
      <c r="C389" s="60" t="s">
        <v>194</v>
      </c>
      <c r="D389" s="76" t="s">
        <v>54</v>
      </c>
      <c r="E389" s="61" t="s">
        <v>1330</v>
      </c>
      <c r="F389" s="61">
        <f>E389*E378</f>
        <v>37.29027</v>
      </c>
    </row>
    <row r="390" spans="1:6" ht="22.5" x14ac:dyDescent="0.25">
      <c r="A390" s="58" t="s">
        <v>344</v>
      </c>
      <c r="B390" s="59" t="s">
        <v>1796</v>
      </c>
      <c r="C390" s="60" t="s">
        <v>1032</v>
      </c>
      <c r="D390" s="76" t="s">
        <v>60</v>
      </c>
      <c r="E390" s="61" t="s">
        <v>1797</v>
      </c>
      <c r="F390" s="61">
        <f>E390*E378</f>
        <v>5.7918929999999993E-2</v>
      </c>
    </row>
    <row r="391" spans="1:6" ht="22.5" x14ac:dyDescent="0.25">
      <c r="A391" s="58" t="s">
        <v>346</v>
      </c>
      <c r="B391" s="59" t="s">
        <v>249</v>
      </c>
      <c r="C391" s="60" t="s">
        <v>250</v>
      </c>
      <c r="D391" s="76" t="s">
        <v>60</v>
      </c>
      <c r="E391" s="61" t="s">
        <v>1770</v>
      </c>
      <c r="F391" s="61">
        <f>E391*E378</f>
        <v>0.10473012</v>
      </c>
    </row>
    <row r="392" spans="1:6" ht="22.5" x14ac:dyDescent="0.25">
      <c r="A392" s="58" t="s">
        <v>349</v>
      </c>
      <c r="B392" s="59" t="s">
        <v>350</v>
      </c>
      <c r="C392" s="60" t="s">
        <v>351</v>
      </c>
      <c r="D392" s="76" t="s">
        <v>60</v>
      </c>
      <c r="E392" s="61" t="s">
        <v>1771</v>
      </c>
      <c r="F392" s="61">
        <f>E392*E378</f>
        <v>2.7769350000000002E-2</v>
      </c>
    </row>
    <row r="393" spans="1:6" ht="22.5" x14ac:dyDescent="0.25">
      <c r="A393" s="58" t="s">
        <v>354</v>
      </c>
      <c r="B393" s="59" t="s">
        <v>1772</v>
      </c>
      <c r="C393" s="60" t="s">
        <v>1075</v>
      </c>
      <c r="D393" s="76" t="s">
        <v>60</v>
      </c>
      <c r="E393" s="61" t="s">
        <v>140</v>
      </c>
      <c r="F393" s="61">
        <f>E393*E378</f>
        <v>3.1736399999999998E-2</v>
      </c>
    </row>
    <row r="394" spans="1:6" ht="33.75" x14ac:dyDescent="0.25">
      <c r="A394" s="58" t="s">
        <v>358</v>
      </c>
      <c r="B394" s="59" t="s">
        <v>1773</v>
      </c>
      <c r="C394" s="60" t="s">
        <v>1774</v>
      </c>
      <c r="D394" s="76" t="s">
        <v>54</v>
      </c>
      <c r="E394" s="61" t="s">
        <v>55</v>
      </c>
      <c r="F394" s="61">
        <f>E394*E378</f>
        <v>7.9340999999999995E-2</v>
      </c>
    </row>
    <row r="395" spans="1:6" ht="33.75" x14ac:dyDescent="0.25">
      <c r="A395" s="58" t="s">
        <v>364</v>
      </c>
      <c r="B395" s="59" t="s">
        <v>1759</v>
      </c>
      <c r="C395" s="60" t="s">
        <v>1113</v>
      </c>
      <c r="D395" s="76" t="s">
        <v>54</v>
      </c>
      <c r="E395" s="61" t="s">
        <v>520</v>
      </c>
      <c r="F395" s="61">
        <f>E395*E378</f>
        <v>0.12694559999999999</v>
      </c>
    </row>
    <row r="396" spans="1:6" ht="33.75" x14ac:dyDescent="0.25">
      <c r="A396" s="58" t="s">
        <v>2057</v>
      </c>
      <c r="B396" s="59" t="s">
        <v>355</v>
      </c>
      <c r="C396" s="60" t="s">
        <v>356</v>
      </c>
      <c r="D396" s="76" t="s">
        <v>54</v>
      </c>
      <c r="E396" s="61" t="s">
        <v>1775</v>
      </c>
      <c r="F396" s="61">
        <f>E396*E378</f>
        <v>2.0390636999999998</v>
      </c>
    </row>
    <row r="397" spans="1:6" ht="22.5" x14ac:dyDescent="0.25">
      <c r="A397" s="58" t="s">
        <v>2059</v>
      </c>
      <c r="B397" s="59" t="s">
        <v>359</v>
      </c>
      <c r="C397" s="60" t="s">
        <v>360</v>
      </c>
      <c r="D397" s="76" t="s">
        <v>361</v>
      </c>
      <c r="E397" s="61" t="s">
        <v>80</v>
      </c>
      <c r="F397" s="61">
        <f>E397*E378</f>
        <v>4.7604600000000001</v>
      </c>
    </row>
    <row r="398" spans="1:6" ht="22.5" x14ac:dyDescent="0.25">
      <c r="A398" s="58" t="s">
        <v>2061</v>
      </c>
      <c r="B398" s="59" t="s">
        <v>365</v>
      </c>
      <c r="C398" s="60" t="s">
        <v>366</v>
      </c>
      <c r="D398" s="76" t="s">
        <v>367</v>
      </c>
      <c r="E398" s="61" t="s">
        <v>1776</v>
      </c>
      <c r="F398" s="61">
        <f>E398*E378</f>
        <v>100.287024</v>
      </c>
    </row>
    <row r="399" spans="1:6" x14ac:dyDescent="0.25">
      <c r="A399" s="55" t="s">
        <v>370</v>
      </c>
      <c r="B399" s="56" t="s">
        <v>293</v>
      </c>
      <c r="C399" s="57" t="s">
        <v>294</v>
      </c>
      <c r="D399" s="75" t="s">
        <v>107</v>
      </c>
      <c r="E399" s="122" t="s">
        <v>2063</v>
      </c>
      <c r="F399" s="123"/>
    </row>
    <row r="400" spans="1:6" x14ac:dyDescent="0.25">
      <c r="A400" s="58" t="s">
        <v>374</v>
      </c>
      <c r="B400" s="59" t="s">
        <v>34</v>
      </c>
      <c r="C400" s="60" t="s">
        <v>35</v>
      </c>
      <c r="D400" s="76" t="s">
        <v>16</v>
      </c>
      <c r="E400" s="61" t="s">
        <v>297</v>
      </c>
      <c r="F400" s="61">
        <f>E400*E399</f>
        <v>403.58122000000003</v>
      </c>
    </row>
    <row r="401" spans="1:6" x14ac:dyDescent="0.25">
      <c r="A401" s="58" t="s">
        <v>377</v>
      </c>
      <c r="B401" s="59" t="s">
        <v>14</v>
      </c>
      <c r="C401" s="60" t="s">
        <v>15</v>
      </c>
      <c r="D401" s="76" t="s">
        <v>16</v>
      </c>
      <c r="E401" s="61" t="s">
        <v>300</v>
      </c>
      <c r="F401" s="61">
        <f>E401*E399</f>
        <v>35.729897000000001</v>
      </c>
    </row>
    <row r="402" spans="1:6" x14ac:dyDescent="0.25">
      <c r="A402" s="58" t="s">
        <v>380</v>
      </c>
      <c r="B402" s="59" t="s">
        <v>303</v>
      </c>
      <c r="C402" s="60" t="s">
        <v>304</v>
      </c>
      <c r="D402" s="76" t="s">
        <v>21</v>
      </c>
      <c r="E402" s="61" t="s">
        <v>305</v>
      </c>
      <c r="F402" s="61">
        <f>E402*E399</f>
        <v>21.104706</v>
      </c>
    </row>
    <row r="403" spans="1:6" ht="33.75" x14ac:dyDescent="0.25">
      <c r="A403" s="58" t="s">
        <v>384</v>
      </c>
      <c r="B403" s="59" t="s">
        <v>308</v>
      </c>
      <c r="C403" s="60" t="s">
        <v>309</v>
      </c>
      <c r="D403" s="76" t="s">
        <v>21</v>
      </c>
      <c r="E403" s="61" t="s">
        <v>310</v>
      </c>
      <c r="F403" s="61">
        <f>E403*E399</f>
        <v>9.8858885999999995</v>
      </c>
    </row>
    <row r="404" spans="1:6" ht="33.75" x14ac:dyDescent="0.25">
      <c r="A404" s="58" t="s">
        <v>387</v>
      </c>
      <c r="B404" s="59" t="s">
        <v>313</v>
      </c>
      <c r="C404" s="60" t="s">
        <v>314</v>
      </c>
      <c r="D404" s="76" t="s">
        <v>21</v>
      </c>
      <c r="E404" s="61" t="s">
        <v>315</v>
      </c>
      <c r="F404" s="61">
        <f>E404*E399</f>
        <v>0.88861920000000005</v>
      </c>
    </row>
    <row r="405" spans="1:6" ht="33.75" x14ac:dyDescent="0.25">
      <c r="A405" s="58" t="s">
        <v>390</v>
      </c>
      <c r="B405" s="59" t="s">
        <v>318</v>
      </c>
      <c r="C405" s="60" t="s">
        <v>319</v>
      </c>
      <c r="D405" s="76" t="s">
        <v>21</v>
      </c>
      <c r="E405" s="61" t="s">
        <v>320</v>
      </c>
      <c r="F405" s="61">
        <f>E405*E399</f>
        <v>17.031867999999999</v>
      </c>
    </row>
    <row r="406" spans="1:6" x14ac:dyDescent="0.25">
      <c r="A406" s="58" t="s">
        <v>393</v>
      </c>
      <c r="B406" s="59" t="s">
        <v>323</v>
      </c>
      <c r="C406" s="60" t="s">
        <v>324</v>
      </c>
      <c r="D406" s="76" t="s">
        <v>21</v>
      </c>
      <c r="E406" s="61" t="s">
        <v>325</v>
      </c>
      <c r="F406" s="61">
        <f>E406*E399</f>
        <v>39.543554399999998</v>
      </c>
    </row>
    <row r="407" spans="1:6" x14ac:dyDescent="0.25">
      <c r="A407" s="58" t="s">
        <v>396</v>
      </c>
      <c r="B407" s="59" t="s">
        <v>328</v>
      </c>
      <c r="C407" s="60" t="s">
        <v>329</v>
      </c>
      <c r="D407" s="76" t="s">
        <v>21</v>
      </c>
      <c r="E407" s="61" t="s">
        <v>330</v>
      </c>
      <c r="F407" s="61">
        <f>E407*E399</f>
        <v>5.2761765</v>
      </c>
    </row>
    <row r="408" spans="1:6" ht="22.5" x14ac:dyDescent="0.25">
      <c r="A408" s="58" t="s">
        <v>399</v>
      </c>
      <c r="B408" s="59" t="s">
        <v>239</v>
      </c>
      <c r="C408" s="60" t="s">
        <v>190</v>
      </c>
      <c r="D408" s="76" t="s">
        <v>21</v>
      </c>
      <c r="E408" s="61" t="s">
        <v>12</v>
      </c>
      <c r="F408" s="61">
        <f>E408*E399</f>
        <v>2.6658575999999998</v>
      </c>
    </row>
    <row r="409" spans="1:6" ht="22.5" x14ac:dyDescent="0.25">
      <c r="A409" s="58" t="s">
        <v>403</v>
      </c>
      <c r="B409" s="59" t="s">
        <v>335</v>
      </c>
      <c r="C409" s="60" t="s">
        <v>336</v>
      </c>
      <c r="D409" s="76" t="s">
        <v>54</v>
      </c>
      <c r="E409" s="61" t="s">
        <v>337</v>
      </c>
      <c r="F409" s="61">
        <f>E409*E399</f>
        <v>187.905935</v>
      </c>
    </row>
    <row r="410" spans="1:6" ht="22.5" x14ac:dyDescent="0.25">
      <c r="A410" s="58" t="s">
        <v>408</v>
      </c>
      <c r="B410" s="59" t="s">
        <v>340</v>
      </c>
      <c r="C410" s="60" t="s">
        <v>341</v>
      </c>
      <c r="D410" s="76" t="s">
        <v>54</v>
      </c>
      <c r="E410" s="61" t="s">
        <v>342</v>
      </c>
      <c r="F410" s="61">
        <f>E410*E399</f>
        <v>1.2773900999999999</v>
      </c>
    </row>
    <row r="411" spans="1:6" ht="22.5" x14ac:dyDescent="0.25">
      <c r="A411" s="58" t="s">
        <v>413</v>
      </c>
      <c r="B411" s="59" t="s">
        <v>246</v>
      </c>
      <c r="C411" s="60" t="s">
        <v>194</v>
      </c>
      <c r="D411" s="76" t="s">
        <v>54</v>
      </c>
      <c r="E411" s="61" t="s">
        <v>270</v>
      </c>
      <c r="F411" s="61">
        <f>E411*E399</f>
        <v>37.025800000000004</v>
      </c>
    </row>
    <row r="412" spans="1:6" ht="22.5" x14ac:dyDescent="0.25">
      <c r="A412" s="58" t="s">
        <v>417</v>
      </c>
      <c r="B412" s="59" t="s">
        <v>249</v>
      </c>
      <c r="C412" s="60" t="s">
        <v>250</v>
      </c>
      <c r="D412" s="76" t="s">
        <v>60</v>
      </c>
      <c r="E412" s="61" t="s">
        <v>347</v>
      </c>
      <c r="F412" s="61">
        <f>E412*E399</f>
        <v>9.2564500000000011E-3</v>
      </c>
    </row>
    <row r="413" spans="1:6" ht="22.5" x14ac:dyDescent="0.25">
      <c r="A413" s="58" t="s">
        <v>422</v>
      </c>
      <c r="B413" s="59" t="s">
        <v>350</v>
      </c>
      <c r="C413" s="60" t="s">
        <v>351</v>
      </c>
      <c r="D413" s="76" t="s">
        <v>60</v>
      </c>
      <c r="E413" s="61" t="s">
        <v>352</v>
      </c>
      <c r="F413" s="61">
        <f>E413*E399</f>
        <v>9.8118370000000003E-3</v>
      </c>
    </row>
    <row r="414" spans="1:6" ht="33.75" x14ac:dyDescent="0.25">
      <c r="A414" s="58" t="s">
        <v>2078</v>
      </c>
      <c r="B414" s="59" t="s">
        <v>355</v>
      </c>
      <c r="C414" s="60" t="s">
        <v>356</v>
      </c>
      <c r="D414" s="76" t="s">
        <v>54</v>
      </c>
      <c r="E414" s="61" t="s">
        <v>78</v>
      </c>
      <c r="F414" s="61">
        <f>E414*E399</f>
        <v>0.37025800000000003</v>
      </c>
    </row>
    <row r="415" spans="1:6" ht="22.5" x14ac:dyDescent="0.25">
      <c r="A415" s="58" t="s">
        <v>2080</v>
      </c>
      <c r="B415" s="59" t="s">
        <v>359</v>
      </c>
      <c r="C415" s="60" t="s">
        <v>360</v>
      </c>
      <c r="D415" s="76" t="s">
        <v>361</v>
      </c>
      <c r="E415" s="61" t="s">
        <v>362</v>
      </c>
      <c r="F415" s="61">
        <f>E415*E399</f>
        <v>9.8488628000000009</v>
      </c>
    </row>
    <row r="416" spans="1:6" ht="22.5" x14ac:dyDescent="0.25">
      <c r="A416" s="58" t="s">
        <v>2082</v>
      </c>
      <c r="B416" s="59" t="s">
        <v>365</v>
      </c>
      <c r="C416" s="60" t="s">
        <v>366</v>
      </c>
      <c r="D416" s="76" t="s">
        <v>367</v>
      </c>
      <c r="E416" s="61" t="s">
        <v>368</v>
      </c>
      <c r="F416" s="61">
        <f>E416*E399</f>
        <v>34.619123000000002</v>
      </c>
    </row>
    <row r="417" spans="1:6" x14ac:dyDescent="0.25">
      <c r="A417" s="55" t="s">
        <v>427</v>
      </c>
      <c r="B417" s="56" t="s">
        <v>2084</v>
      </c>
      <c r="C417" s="57" t="s">
        <v>2085</v>
      </c>
      <c r="D417" s="75" t="s">
        <v>1777</v>
      </c>
      <c r="E417" s="122" t="s">
        <v>2086</v>
      </c>
      <c r="F417" s="123"/>
    </row>
    <row r="418" spans="1:6" x14ac:dyDescent="0.25">
      <c r="A418" s="58" t="s">
        <v>1879</v>
      </c>
      <c r="B418" s="59" t="s">
        <v>34</v>
      </c>
      <c r="C418" s="60" t="s">
        <v>35</v>
      </c>
      <c r="D418" s="76" t="s">
        <v>16</v>
      </c>
      <c r="E418" s="61" t="s">
        <v>2087</v>
      </c>
      <c r="F418" s="61">
        <f>E418*E417</f>
        <v>5173.7969999999996</v>
      </c>
    </row>
    <row r="419" spans="1:6" x14ac:dyDescent="0.25">
      <c r="A419" s="58" t="s">
        <v>1880</v>
      </c>
      <c r="B419" s="59" t="s">
        <v>14</v>
      </c>
      <c r="C419" s="60" t="s">
        <v>15</v>
      </c>
      <c r="D419" s="76" t="s">
        <v>16</v>
      </c>
      <c r="E419" s="61" t="s">
        <v>2089</v>
      </c>
      <c r="F419" s="61">
        <f>E419*E417</f>
        <v>798.28599999999994</v>
      </c>
    </row>
    <row r="420" spans="1:6" ht="33.75" x14ac:dyDescent="0.25">
      <c r="A420" s="58" t="s">
        <v>1881</v>
      </c>
      <c r="B420" s="59" t="s">
        <v>381</v>
      </c>
      <c r="C420" s="60" t="s">
        <v>382</v>
      </c>
      <c r="D420" s="76" t="s">
        <v>21</v>
      </c>
      <c r="E420" s="61" t="s">
        <v>2091</v>
      </c>
      <c r="F420" s="61">
        <f>E420*E417</f>
        <v>316.30200000000002</v>
      </c>
    </row>
    <row r="421" spans="1:6" ht="33.75" x14ac:dyDescent="0.25">
      <c r="A421" s="58" t="s">
        <v>1882</v>
      </c>
      <c r="B421" s="59" t="s">
        <v>318</v>
      </c>
      <c r="C421" s="60" t="s">
        <v>319</v>
      </c>
      <c r="D421" s="76" t="s">
        <v>21</v>
      </c>
      <c r="E421" s="61" t="s">
        <v>2093</v>
      </c>
      <c r="F421" s="61">
        <f>E421*E417</f>
        <v>792.26120000000003</v>
      </c>
    </row>
    <row r="422" spans="1:6" ht="22.5" x14ac:dyDescent="0.25">
      <c r="A422" s="58" t="s">
        <v>1883</v>
      </c>
      <c r="B422" s="59" t="s">
        <v>239</v>
      </c>
      <c r="C422" s="60" t="s">
        <v>190</v>
      </c>
      <c r="D422" s="76" t="s">
        <v>21</v>
      </c>
      <c r="E422" s="61" t="s">
        <v>104</v>
      </c>
      <c r="F422" s="61">
        <f>E422*E417</f>
        <v>12.0496</v>
      </c>
    </row>
    <row r="423" spans="1:6" ht="22.5" x14ac:dyDescent="0.25">
      <c r="A423" s="58" t="s">
        <v>1884</v>
      </c>
      <c r="B423" s="59" t="s">
        <v>2096</v>
      </c>
      <c r="C423" s="60" t="s">
        <v>2097</v>
      </c>
      <c r="D423" s="76" t="s">
        <v>60</v>
      </c>
      <c r="E423" s="61" t="s">
        <v>682</v>
      </c>
      <c r="F423" s="61">
        <f>E423*E417</f>
        <v>150.62</v>
      </c>
    </row>
    <row r="424" spans="1:6" x14ac:dyDescent="0.25">
      <c r="A424" s="58" t="s">
        <v>1885</v>
      </c>
      <c r="B424" s="59" t="s">
        <v>400</v>
      </c>
      <c r="C424" s="60" t="s">
        <v>401</v>
      </c>
      <c r="D424" s="76" t="s">
        <v>60</v>
      </c>
      <c r="E424" s="61" t="s">
        <v>1900</v>
      </c>
      <c r="F424" s="61">
        <f>E424*E417</f>
        <v>0.94890600000000003</v>
      </c>
    </row>
    <row r="425" spans="1:6" x14ac:dyDescent="0.25">
      <c r="A425" s="58" t="s">
        <v>1886</v>
      </c>
      <c r="B425" s="59" t="s">
        <v>404</v>
      </c>
      <c r="C425" s="60" t="s">
        <v>405</v>
      </c>
      <c r="D425" s="76" t="s">
        <v>60</v>
      </c>
      <c r="E425" s="61" t="s">
        <v>1857</v>
      </c>
      <c r="F425" s="61">
        <f>E425*E417</f>
        <v>0.21086800000000003</v>
      </c>
    </row>
    <row r="426" spans="1:6" ht="15" customHeight="1" x14ac:dyDescent="0.25">
      <c r="B426" s="63"/>
      <c r="C426" s="62" t="s">
        <v>2101</v>
      </c>
      <c r="D426" s="74"/>
      <c r="E426" s="63"/>
      <c r="F426" s="64"/>
    </row>
    <row r="427" spans="1:6" ht="22.5" x14ac:dyDescent="0.25">
      <c r="A427" s="55" t="s">
        <v>431</v>
      </c>
      <c r="B427" s="56" t="s">
        <v>1799</v>
      </c>
      <c r="C427" s="57" t="s">
        <v>1800</v>
      </c>
      <c r="D427" s="75" t="s">
        <v>107</v>
      </c>
      <c r="E427" s="122" t="s">
        <v>2102</v>
      </c>
      <c r="F427" s="123"/>
    </row>
    <row r="428" spans="1:6" x14ac:dyDescent="0.25">
      <c r="A428" s="58" t="s">
        <v>1051</v>
      </c>
      <c r="B428" s="59" t="s">
        <v>34</v>
      </c>
      <c r="C428" s="60" t="s">
        <v>35</v>
      </c>
      <c r="D428" s="76" t="s">
        <v>16</v>
      </c>
      <c r="E428" s="61" t="s">
        <v>1801</v>
      </c>
      <c r="F428" s="61">
        <f>E428*E427</f>
        <v>342.53429999999997</v>
      </c>
    </row>
    <row r="429" spans="1:6" x14ac:dyDescent="0.25">
      <c r="A429" s="58" t="s">
        <v>1052</v>
      </c>
      <c r="B429" s="59" t="s">
        <v>14</v>
      </c>
      <c r="C429" s="60" t="s">
        <v>15</v>
      </c>
      <c r="D429" s="76" t="s">
        <v>16</v>
      </c>
      <c r="E429" s="61" t="s">
        <v>1802</v>
      </c>
      <c r="F429" s="61">
        <f>E429*E427</f>
        <v>22.630355999999999</v>
      </c>
    </row>
    <row r="430" spans="1:6" ht="33.75" x14ac:dyDescent="0.25">
      <c r="A430" s="58" t="s">
        <v>1053</v>
      </c>
      <c r="B430" s="59" t="s">
        <v>318</v>
      </c>
      <c r="C430" s="60" t="s">
        <v>319</v>
      </c>
      <c r="D430" s="76" t="s">
        <v>21</v>
      </c>
      <c r="E430" s="61" t="s">
        <v>1802</v>
      </c>
      <c r="F430" s="61">
        <f>E430*E427</f>
        <v>22.630355999999999</v>
      </c>
    </row>
    <row r="431" spans="1:6" x14ac:dyDescent="0.25">
      <c r="A431" s="58" t="s">
        <v>1054</v>
      </c>
      <c r="B431" s="59" t="s">
        <v>1803</v>
      </c>
      <c r="C431" s="60" t="s">
        <v>1804</v>
      </c>
      <c r="D431" s="76" t="s">
        <v>54</v>
      </c>
      <c r="E431" s="61" t="s">
        <v>1805</v>
      </c>
      <c r="F431" s="61">
        <f>E431*E427</f>
        <v>396.41610000000003</v>
      </c>
    </row>
    <row r="432" spans="1:6" ht="33.75" x14ac:dyDescent="0.25">
      <c r="A432" s="55" t="s">
        <v>435</v>
      </c>
      <c r="B432" s="56" t="s">
        <v>510</v>
      </c>
      <c r="C432" s="57" t="s">
        <v>511</v>
      </c>
      <c r="D432" s="75" t="s">
        <v>512</v>
      </c>
      <c r="E432" s="122" t="s">
        <v>2106</v>
      </c>
      <c r="F432" s="123"/>
    </row>
    <row r="433" spans="1:6" x14ac:dyDescent="0.25">
      <c r="A433" s="58" t="s">
        <v>1087</v>
      </c>
      <c r="B433" s="59" t="s">
        <v>34</v>
      </c>
      <c r="C433" s="60" t="s">
        <v>35</v>
      </c>
      <c r="D433" s="76" t="s">
        <v>16</v>
      </c>
      <c r="E433" s="61" t="s">
        <v>515</v>
      </c>
      <c r="F433" s="61">
        <f>E433*E432</f>
        <v>1350.7575200000001</v>
      </c>
    </row>
    <row r="434" spans="1:6" x14ac:dyDescent="0.25">
      <c r="A434" s="58" t="s">
        <v>1088</v>
      </c>
      <c r="B434" s="59" t="s">
        <v>518</v>
      </c>
      <c r="C434" s="60" t="s">
        <v>519</v>
      </c>
      <c r="D434" s="76" t="s">
        <v>21</v>
      </c>
      <c r="E434" s="61" t="s">
        <v>520</v>
      </c>
      <c r="F434" s="61">
        <f>E434*E432</f>
        <v>4.0321120000000006</v>
      </c>
    </row>
    <row r="435" spans="1:6" x14ac:dyDescent="0.25">
      <c r="A435" s="58" t="s">
        <v>1089</v>
      </c>
      <c r="B435" s="59" t="s">
        <v>522</v>
      </c>
      <c r="C435" s="60" t="s">
        <v>523</v>
      </c>
      <c r="D435" s="76" t="s">
        <v>524</v>
      </c>
      <c r="E435" s="61" t="s">
        <v>525</v>
      </c>
      <c r="F435" s="61">
        <f>E435*E432</f>
        <v>7.5602099999999997</v>
      </c>
    </row>
    <row r="436" spans="1:6" x14ac:dyDescent="0.25">
      <c r="A436" s="55" t="s">
        <v>439</v>
      </c>
      <c r="B436" s="56" t="s">
        <v>528</v>
      </c>
      <c r="C436" s="57" t="s">
        <v>529</v>
      </c>
      <c r="D436" s="75" t="s">
        <v>530</v>
      </c>
      <c r="E436" s="122" t="s">
        <v>2110</v>
      </c>
      <c r="F436" s="123"/>
    </row>
    <row r="437" spans="1:6" x14ac:dyDescent="0.25">
      <c r="A437" s="58" t="s">
        <v>443</v>
      </c>
      <c r="B437" s="59" t="s">
        <v>34</v>
      </c>
      <c r="C437" s="60" t="s">
        <v>35</v>
      </c>
      <c r="D437" s="76" t="s">
        <v>16</v>
      </c>
      <c r="E437" s="61" t="s">
        <v>533</v>
      </c>
      <c r="F437" s="61">
        <f>E437*E436</f>
        <v>2.9131777999999997</v>
      </c>
    </row>
    <row r="438" spans="1:6" x14ac:dyDescent="0.25">
      <c r="A438" s="58" t="s">
        <v>446</v>
      </c>
      <c r="B438" s="59" t="s">
        <v>14</v>
      </c>
      <c r="C438" s="60" t="s">
        <v>15</v>
      </c>
      <c r="D438" s="76" t="s">
        <v>16</v>
      </c>
      <c r="E438" s="61" t="s">
        <v>536</v>
      </c>
      <c r="F438" s="61">
        <f>E438*E436</f>
        <v>1.5573908999999997</v>
      </c>
    </row>
    <row r="439" spans="1:6" ht="22.5" x14ac:dyDescent="0.25">
      <c r="A439" s="58" t="s">
        <v>449</v>
      </c>
      <c r="B439" s="59" t="s">
        <v>539</v>
      </c>
      <c r="C439" s="60" t="s">
        <v>540</v>
      </c>
      <c r="D439" s="76" t="s">
        <v>21</v>
      </c>
      <c r="E439" s="61" t="s">
        <v>541</v>
      </c>
      <c r="F439" s="61">
        <f>E439*E436</f>
        <v>0.16632330000000001</v>
      </c>
    </row>
    <row r="440" spans="1:6" x14ac:dyDescent="0.25">
      <c r="A440" s="58" t="s">
        <v>452</v>
      </c>
      <c r="B440" s="59" t="s">
        <v>544</v>
      </c>
      <c r="C440" s="60" t="s">
        <v>545</v>
      </c>
      <c r="D440" s="76" t="s">
        <v>21</v>
      </c>
      <c r="E440" s="61" t="s">
        <v>546</v>
      </c>
      <c r="F440" s="61">
        <f>E440*E436</f>
        <v>0.90721799999999997</v>
      </c>
    </row>
    <row r="441" spans="1:6" x14ac:dyDescent="0.25">
      <c r="A441" s="58" t="s">
        <v>455</v>
      </c>
      <c r="B441" s="59" t="s">
        <v>549</v>
      </c>
      <c r="C441" s="60" t="s">
        <v>550</v>
      </c>
      <c r="D441" s="76" t="s">
        <v>21</v>
      </c>
      <c r="E441" s="61" t="s">
        <v>551</v>
      </c>
      <c r="F441" s="61">
        <f>E441*E436</f>
        <v>1.1390625999999997</v>
      </c>
    </row>
    <row r="442" spans="1:6" ht="22.5" x14ac:dyDescent="0.25">
      <c r="A442" s="58" t="s">
        <v>457</v>
      </c>
      <c r="B442" s="59" t="s">
        <v>239</v>
      </c>
      <c r="C442" s="60" t="s">
        <v>190</v>
      </c>
      <c r="D442" s="76" t="s">
        <v>21</v>
      </c>
      <c r="E442" s="61" t="s">
        <v>554</v>
      </c>
      <c r="F442" s="61">
        <f>E442*E436</f>
        <v>0.25200499999999998</v>
      </c>
    </row>
    <row r="443" spans="1:6" ht="22.5" x14ac:dyDescent="0.25">
      <c r="A443" s="58" t="s">
        <v>2117</v>
      </c>
      <c r="B443" s="59" t="s">
        <v>557</v>
      </c>
      <c r="C443" s="60" t="s">
        <v>558</v>
      </c>
      <c r="D443" s="76" t="s">
        <v>60</v>
      </c>
      <c r="E443" s="61" t="s">
        <v>559</v>
      </c>
      <c r="F443" s="61">
        <f>E443*E436</f>
        <v>0.16128319999999999</v>
      </c>
    </row>
    <row r="444" spans="1:6" x14ac:dyDescent="0.25">
      <c r="A444" s="58" t="s">
        <v>2119</v>
      </c>
      <c r="B444" s="59" t="s">
        <v>562</v>
      </c>
      <c r="C444" s="60" t="s">
        <v>563</v>
      </c>
      <c r="D444" s="76" t="s">
        <v>60</v>
      </c>
      <c r="E444" s="61" t="s">
        <v>564</v>
      </c>
      <c r="F444" s="61">
        <f>E444*E436</f>
        <v>0.36288719999999997</v>
      </c>
    </row>
    <row r="445" spans="1:6" x14ac:dyDescent="0.25">
      <c r="A445" s="55" t="s">
        <v>460</v>
      </c>
      <c r="B445" s="56" t="s">
        <v>567</v>
      </c>
      <c r="C445" s="57" t="s">
        <v>568</v>
      </c>
      <c r="D445" s="75" t="s">
        <v>530</v>
      </c>
      <c r="E445" s="122" t="s">
        <v>2121</v>
      </c>
      <c r="F445" s="123"/>
    </row>
    <row r="446" spans="1:6" x14ac:dyDescent="0.25">
      <c r="A446" s="58" t="s">
        <v>1121</v>
      </c>
      <c r="B446" s="59" t="s">
        <v>34</v>
      </c>
      <c r="C446" s="60" t="s">
        <v>35</v>
      </c>
      <c r="D446" s="76" t="s">
        <v>16</v>
      </c>
      <c r="E446" s="61" t="s">
        <v>571</v>
      </c>
      <c r="F446" s="61">
        <f>E446*E445</f>
        <v>84.528220399999995</v>
      </c>
    </row>
    <row r="447" spans="1:6" x14ac:dyDescent="0.25">
      <c r="A447" s="58" t="s">
        <v>1122</v>
      </c>
      <c r="B447" s="59" t="s">
        <v>14</v>
      </c>
      <c r="C447" s="60" t="s">
        <v>15</v>
      </c>
      <c r="D447" s="76" t="s">
        <v>16</v>
      </c>
      <c r="E447" s="61" t="s">
        <v>574</v>
      </c>
      <c r="F447" s="61">
        <f>E447*E445</f>
        <v>22.186704799999998</v>
      </c>
    </row>
    <row r="448" spans="1:6" ht="22.5" x14ac:dyDescent="0.25">
      <c r="A448" s="58" t="s">
        <v>1123</v>
      </c>
      <c r="B448" s="59" t="s">
        <v>539</v>
      </c>
      <c r="C448" s="60" t="s">
        <v>540</v>
      </c>
      <c r="D448" s="76" t="s">
        <v>21</v>
      </c>
      <c r="E448" s="61" t="s">
        <v>541</v>
      </c>
      <c r="F448" s="61">
        <f>E448*E445</f>
        <v>2.5780326000000002</v>
      </c>
    </row>
    <row r="449" spans="1:6" x14ac:dyDescent="0.25">
      <c r="A449" s="58" t="s">
        <v>1126</v>
      </c>
      <c r="B449" s="59" t="s">
        <v>544</v>
      </c>
      <c r="C449" s="60" t="s">
        <v>545</v>
      </c>
      <c r="D449" s="76" t="s">
        <v>21</v>
      </c>
      <c r="E449" s="61" t="s">
        <v>579</v>
      </c>
      <c r="F449" s="61">
        <f>E449*E445</f>
        <v>32.733201800000003</v>
      </c>
    </row>
    <row r="450" spans="1:6" x14ac:dyDescent="0.25">
      <c r="A450" s="58" t="s">
        <v>1127</v>
      </c>
      <c r="B450" s="59" t="s">
        <v>549</v>
      </c>
      <c r="C450" s="60" t="s">
        <v>550</v>
      </c>
      <c r="D450" s="76" t="s">
        <v>21</v>
      </c>
      <c r="E450" s="61" t="s">
        <v>582</v>
      </c>
      <c r="F450" s="61">
        <f>E450*E445</f>
        <v>15.702562199999997</v>
      </c>
    </row>
    <row r="451" spans="1:6" ht="22.5" x14ac:dyDescent="0.25">
      <c r="A451" s="58" t="s">
        <v>1128</v>
      </c>
      <c r="B451" s="59" t="s">
        <v>239</v>
      </c>
      <c r="C451" s="60" t="s">
        <v>190</v>
      </c>
      <c r="D451" s="76" t="s">
        <v>21</v>
      </c>
      <c r="E451" s="61" t="s">
        <v>554</v>
      </c>
      <c r="F451" s="61">
        <f>E451*E445</f>
        <v>3.90611</v>
      </c>
    </row>
    <row r="452" spans="1:6" ht="22.5" x14ac:dyDescent="0.25">
      <c r="A452" s="58" t="s">
        <v>1129</v>
      </c>
      <c r="B452" s="59" t="s">
        <v>557</v>
      </c>
      <c r="C452" s="60" t="s">
        <v>558</v>
      </c>
      <c r="D452" s="76" t="s">
        <v>60</v>
      </c>
      <c r="E452" s="61" t="s">
        <v>587</v>
      </c>
      <c r="F452" s="61">
        <f>E452*E445</f>
        <v>5.7810427999999998</v>
      </c>
    </row>
    <row r="453" spans="1:6" x14ac:dyDescent="0.25">
      <c r="A453" s="58" t="s">
        <v>1130</v>
      </c>
      <c r="B453" s="59" t="s">
        <v>562</v>
      </c>
      <c r="C453" s="60" t="s">
        <v>563</v>
      </c>
      <c r="D453" s="76" t="s">
        <v>60</v>
      </c>
      <c r="E453" s="61" t="s">
        <v>590</v>
      </c>
      <c r="F453" s="61">
        <f>E453*E445</f>
        <v>2.4217881999999999</v>
      </c>
    </row>
    <row r="454" spans="1:6" ht="33.75" x14ac:dyDescent="0.25">
      <c r="A454" s="55" t="s">
        <v>464</v>
      </c>
      <c r="B454" s="56" t="s">
        <v>1887</v>
      </c>
      <c r="C454" s="57" t="s">
        <v>1888</v>
      </c>
      <c r="D454" s="75" t="s">
        <v>512</v>
      </c>
      <c r="E454" s="122" t="s">
        <v>2130</v>
      </c>
      <c r="F454" s="123"/>
    </row>
    <row r="455" spans="1:6" x14ac:dyDescent="0.25">
      <c r="A455" s="58" t="s">
        <v>467</v>
      </c>
      <c r="B455" s="59" t="s">
        <v>34</v>
      </c>
      <c r="C455" s="60" t="s">
        <v>35</v>
      </c>
      <c r="D455" s="76" t="s">
        <v>16</v>
      </c>
      <c r="E455" s="61" t="s">
        <v>1889</v>
      </c>
      <c r="F455" s="61">
        <f>E455*E454</f>
        <v>109.83600000000001</v>
      </c>
    </row>
    <row r="456" spans="1:6" x14ac:dyDescent="0.25">
      <c r="A456" s="58" t="s">
        <v>470</v>
      </c>
      <c r="B456" s="59" t="s">
        <v>14</v>
      </c>
      <c r="C456" s="60" t="s">
        <v>15</v>
      </c>
      <c r="D456" s="76" t="s">
        <v>16</v>
      </c>
      <c r="E456" s="61" t="s">
        <v>1890</v>
      </c>
      <c r="F456" s="61">
        <f>E456*E454</f>
        <v>0.45900000000000002</v>
      </c>
    </row>
    <row r="457" spans="1:6" ht="22.5" x14ac:dyDescent="0.25">
      <c r="A457" s="58" t="s">
        <v>473</v>
      </c>
      <c r="B457" s="59" t="s">
        <v>539</v>
      </c>
      <c r="C457" s="60" t="s">
        <v>540</v>
      </c>
      <c r="D457" s="76" t="s">
        <v>21</v>
      </c>
      <c r="E457" s="61" t="s">
        <v>140</v>
      </c>
      <c r="F457" s="61">
        <f>E457*E454</f>
        <v>2.1600000000000001E-2</v>
      </c>
    </row>
    <row r="458" spans="1:6" x14ac:dyDescent="0.25">
      <c r="A458" s="58" t="s">
        <v>474</v>
      </c>
      <c r="B458" s="59" t="s">
        <v>518</v>
      </c>
      <c r="C458" s="60" t="s">
        <v>519</v>
      </c>
      <c r="D458" s="76" t="s">
        <v>21</v>
      </c>
      <c r="E458" s="61" t="s">
        <v>520</v>
      </c>
      <c r="F458" s="61">
        <f>E458*E454</f>
        <v>8.6400000000000005E-2</v>
      </c>
    </row>
    <row r="459" spans="1:6" ht="22.5" x14ac:dyDescent="0.25">
      <c r="A459" s="58" t="s">
        <v>479</v>
      </c>
      <c r="B459" s="59" t="s">
        <v>2133</v>
      </c>
      <c r="C459" s="60" t="s">
        <v>1891</v>
      </c>
      <c r="D459" s="76" t="s">
        <v>21</v>
      </c>
      <c r="E459" s="61" t="s">
        <v>587</v>
      </c>
      <c r="F459" s="61">
        <f>E459*E454</f>
        <v>0.39960000000000001</v>
      </c>
    </row>
    <row r="460" spans="1:6" ht="22.5" x14ac:dyDescent="0.25">
      <c r="A460" s="58" t="s">
        <v>2135</v>
      </c>
      <c r="B460" s="59" t="s">
        <v>239</v>
      </c>
      <c r="C460" s="60" t="s">
        <v>190</v>
      </c>
      <c r="D460" s="76" t="s">
        <v>21</v>
      </c>
      <c r="E460" s="61" t="s">
        <v>471</v>
      </c>
      <c r="F460" s="61">
        <f>E460*E454</f>
        <v>3.7800000000000007E-2</v>
      </c>
    </row>
    <row r="461" spans="1:6" ht="22.5" x14ac:dyDescent="0.25">
      <c r="A461" s="58" t="s">
        <v>2137</v>
      </c>
      <c r="B461" s="59" t="s">
        <v>2138</v>
      </c>
      <c r="C461" s="60" t="s">
        <v>2139</v>
      </c>
      <c r="D461" s="76" t="s">
        <v>54</v>
      </c>
      <c r="E461" s="61" t="s">
        <v>1808</v>
      </c>
      <c r="F461" s="61">
        <f>E461*E454</f>
        <v>1.6524000000000001</v>
      </c>
    </row>
    <row r="462" spans="1:6" x14ac:dyDescent="0.25">
      <c r="A462" s="58" t="s">
        <v>2140</v>
      </c>
      <c r="B462" s="59" t="s">
        <v>2141</v>
      </c>
      <c r="C462" s="60" t="s">
        <v>2142</v>
      </c>
      <c r="D462" s="76" t="s">
        <v>367</v>
      </c>
      <c r="E462" s="61" t="s">
        <v>1893</v>
      </c>
      <c r="F462" s="61">
        <f>E462*E454</f>
        <v>127.98</v>
      </c>
    </row>
    <row r="463" spans="1:6" x14ac:dyDescent="0.25">
      <c r="A463" s="58" t="s">
        <v>2144</v>
      </c>
      <c r="B463" s="59" t="s">
        <v>522</v>
      </c>
      <c r="C463" s="60" t="s">
        <v>523</v>
      </c>
      <c r="D463" s="76" t="s">
        <v>524</v>
      </c>
      <c r="E463" s="61" t="s">
        <v>525</v>
      </c>
      <c r="F463" s="61">
        <f>E463*E454</f>
        <v>0.16200000000000001</v>
      </c>
    </row>
    <row r="464" spans="1:6" x14ac:dyDescent="0.25">
      <c r="A464" s="55" t="s">
        <v>482</v>
      </c>
      <c r="B464" s="56" t="s">
        <v>528</v>
      </c>
      <c r="C464" s="57" t="s">
        <v>529</v>
      </c>
      <c r="D464" s="75" t="s">
        <v>530</v>
      </c>
      <c r="E464" s="122" t="s">
        <v>1809</v>
      </c>
      <c r="F464" s="123"/>
    </row>
    <row r="465" spans="1:6" x14ac:dyDescent="0.25">
      <c r="A465" s="58" t="s">
        <v>486</v>
      </c>
      <c r="B465" s="59" t="s">
        <v>34</v>
      </c>
      <c r="C465" s="60" t="s">
        <v>35</v>
      </c>
      <c r="D465" s="76" t="s">
        <v>16</v>
      </c>
      <c r="E465" s="61" t="s">
        <v>533</v>
      </c>
      <c r="F465" s="61">
        <f>E465*E464</f>
        <v>6.2424000000000007E-2</v>
      </c>
    </row>
    <row r="466" spans="1:6" x14ac:dyDescent="0.25">
      <c r="A466" s="58" t="s">
        <v>489</v>
      </c>
      <c r="B466" s="59" t="s">
        <v>14</v>
      </c>
      <c r="C466" s="60" t="s">
        <v>15</v>
      </c>
      <c r="D466" s="76" t="s">
        <v>16</v>
      </c>
      <c r="E466" s="61" t="s">
        <v>536</v>
      </c>
      <c r="F466" s="61">
        <f>E466*E464</f>
        <v>3.3371999999999999E-2</v>
      </c>
    </row>
    <row r="467" spans="1:6" ht="22.5" x14ac:dyDescent="0.25">
      <c r="A467" s="58" t="s">
        <v>492</v>
      </c>
      <c r="B467" s="59" t="s">
        <v>539</v>
      </c>
      <c r="C467" s="60" t="s">
        <v>540</v>
      </c>
      <c r="D467" s="76" t="s">
        <v>21</v>
      </c>
      <c r="E467" s="61" t="s">
        <v>541</v>
      </c>
      <c r="F467" s="61">
        <f>E467*E464</f>
        <v>3.5640000000000003E-3</v>
      </c>
    </row>
    <row r="468" spans="1:6" x14ac:dyDescent="0.25">
      <c r="A468" s="58" t="s">
        <v>495</v>
      </c>
      <c r="B468" s="59" t="s">
        <v>544</v>
      </c>
      <c r="C468" s="60" t="s">
        <v>545</v>
      </c>
      <c r="D468" s="76" t="s">
        <v>21</v>
      </c>
      <c r="E468" s="61" t="s">
        <v>546</v>
      </c>
      <c r="F468" s="61">
        <f>E468*E464</f>
        <v>1.9440000000000002E-2</v>
      </c>
    </row>
    <row r="469" spans="1:6" x14ac:dyDescent="0.25">
      <c r="A469" s="58" t="s">
        <v>500</v>
      </c>
      <c r="B469" s="59" t="s">
        <v>549</v>
      </c>
      <c r="C469" s="60" t="s">
        <v>550</v>
      </c>
      <c r="D469" s="76" t="s">
        <v>21</v>
      </c>
      <c r="E469" s="61" t="s">
        <v>551</v>
      </c>
      <c r="F469" s="61">
        <f>E469*E464</f>
        <v>2.4407999999999999E-2</v>
      </c>
    </row>
    <row r="470" spans="1:6" ht="22.5" x14ac:dyDescent="0.25">
      <c r="A470" s="58" t="s">
        <v>503</v>
      </c>
      <c r="B470" s="59" t="s">
        <v>239</v>
      </c>
      <c r="C470" s="60" t="s">
        <v>190</v>
      </c>
      <c r="D470" s="76" t="s">
        <v>21</v>
      </c>
      <c r="E470" s="61" t="s">
        <v>554</v>
      </c>
      <c r="F470" s="61">
        <f>E470*E464</f>
        <v>5.4000000000000003E-3</v>
      </c>
    </row>
    <row r="471" spans="1:6" ht="22.5" x14ac:dyDescent="0.25">
      <c r="A471" s="58" t="s">
        <v>506</v>
      </c>
      <c r="B471" s="59" t="s">
        <v>557</v>
      </c>
      <c r="C471" s="60" t="s">
        <v>558</v>
      </c>
      <c r="D471" s="76" t="s">
        <v>60</v>
      </c>
      <c r="E471" s="61" t="s">
        <v>559</v>
      </c>
      <c r="F471" s="61">
        <f>E471*E464</f>
        <v>3.4560000000000003E-3</v>
      </c>
    </row>
    <row r="472" spans="1:6" x14ac:dyDescent="0.25">
      <c r="A472" s="58" t="s">
        <v>1141</v>
      </c>
      <c r="B472" s="59" t="s">
        <v>562</v>
      </c>
      <c r="C472" s="60" t="s">
        <v>563</v>
      </c>
      <c r="D472" s="76" t="s">
        <v>60</v>
      </c>
      <c r="E472" s="61" t="s">
        <v>564</v>
      </c>
      <c r="F472" s="61">
        <f>E472*E464</f>
        <v>7.7759999999999999E-3</v>
      </c>
    </row>
    <row r="473" spans="1:6" ht="22.5" x14ac:dyDescent="0.25">
      <c r="A473" s="55" t="s">
        <v>509</v>
      </c>
      <c r="B473" s="56" t="s">
        <v>2151</v>
      </c>
      <c r="C473" s="57" t="s">
        <v>2152</v>
      </c>
      <c r="D473" s="75" t="s">
        <v>530</v>
      </c>
      <c r="E473" s="122" t="s">
        <v>2153</v>
      </c>
      <c r="F473" s="123"/>
    </row>
    <row r="474" spans="1:6" x14ac:dyDescent="0.25">
      <c r="A474" s="58" t="s">
        <v>514</v>
      </c>
      <c r="B474" s="59" t="s">
        <v>34</v>
      </c>
      <c r="C474" s="60" t="s">
        <v>35</v>
      </c>
      <c r="D474" s="76" t="s">
        <v>16</v>
      </c>
      <c r="E474" s="61" t="s">
        <v>2154</v>
      </c>
      <c r="F474" s="61">
        <f>E474*E473</f>
        <v>4.8853799999999996</v>
      </c>
    </row>
    <row r="475" spans="1:6" x14ac:dyDescent="0.25">
      <c r="A475" s="58" t="s">
        <v>517</v>
      </c>
      <c r="B475" s="59" t="s">
        <v>14</v>
      </c>
      <c r="C475" s="60" t="s">
        <v>15</v>
      </c>
      <c r="D475" s="76" t="s">
        <v>16</v>
      </c>
      <c r="E475" s="61" t="s">
        <v>1892</v>
      </c>
      <c r="F475" s="61">
        <f>E475*E473</f>
        <v>0.37200599999999995</v>
      </c>
    </row>
    <row r="476" spans="1:6" ht="22.5" x14ac:dyDescent="0.25">
      <c r="A476" s="58" t="s">
        <v>521</v>
      </c>
      <c r="B476" s="59" t="s">
        <v>539</v>
      </c>
      <c r="C476" s="60" t="s">
        <v>540</v>
      </c>
      <c r="D476" s="76" t="s">
        <v>21</v>
      </c>
      <c r="E476" s="61" t="s">
        <v>541</v>
      </c>
      <c r="F476" s="61">
        <f>E476*E473</f>
        <v>0.14790600000000001</v>
      </c>
    </row>
    <row r="477" spans="1:6" x14ac:dyDescent="0.25">
      <c r="A477" s="58" t="s">
        <v>2158</v>
      </c>
      <c r="B477" s="59" t="s">
        <v>544</v>
      </c>
      <c r="C477" s="60" t="s">
        <v>545</v>
      </c>
      <c r="D477" s="76" t="s">
        <v>21</v>
      </c>
      <c r="E477" s="61" t="s">
        <v>2159</v>
      </c>
      <c r="F477" s="61">
        <f>E477*E473</f>
        <v>2.1558419999999998</v>
      </c>
    </row>
    <row r="478" spans="1:6" ht="22.5" x14ac:dyDescent="0.25">
      <c r="A478" s="58" t="s">
        <v>2161</v>
      </c>
      <c r="B478" s="59" t="s">
        <v>239</v>
      </c>
      <c r="C478" s="60" t="s">
        <v>190</v>
      </c>
      <c r="D478" s="76" t="s">
        <v>21</v>
      </c>
      <c r="E478" s="61" t="s">
        <v>554</v>
      </c>
      <c r="F478" s="61">
        <f>E478*E473</f>
        <v>0.22409999999999999</v>
      </c>
    </row>
    <row r="479" spans="1:6" ht="22.5" x14ac:dyDescent="0.25">
      <c r="A479" s="58" t="s">
        <v>2163</v>
      </c>
      <c r="B479" s="59" t="s">
        <v>557</v>
      </c>
      <c r="C479" s="60" t="s">
        <v>558</v>
      </c>
      <c r="D479" s="76" t="s">
        <v>60</v>
      </c>
      <c r="E479" s="61" t="s">
        <v>472</v>
      </c>
      <c r="F479" s="61">
        <f>E479*E473</f>
        <v>0.18824399999999999</v>
      </c>
    </row>
    <row r="480" spans="1:6" x14ac:dyDescent="0.25">
      <c r="A480" s="58" t="s">
        <v>2165</v>
      </c>
      <c r="B480" s="59" t="s">
        <v>2166</v>
      </c>
      <c r="C480" s="60" t="s">
        <v>2167</v>
      </c>
      <c r="D480" s="76" t="s">
        <v>60</v>
      </c>
      <c r="E480" s="61" t="s">
        <v>1807</v>
      </c>
      <c r="F480" s="61">
        <f>E480*E473</f>
        <v>0.23306399999999999</v>
      </c>
    </row>
    <row r="481" spans="1:6" ht="33.75" x14ac:dyDescent="0.25">
      <c r="A481" s="55" t="s">
        <v>527</v>
      </c>
      <c r="B481" s="56" t="s">
        <v>1781</v>
      </c>
      <c r="C481" s="57" t="s">
        <v>1782</v>
      </c>
      <c r="D481" s="75" t="s">
        <v>175</v>
      </c>
      <c r="E481" s="122" t="s">
        <v>2169</v>
      </c>
      <c r="F481" s="123"/>
    </row>
    <row r="482" spans="1:6" x14ac:dyDescent="0.25">
      <c r="A482" s="58" t="s">
        <v>532</v>
      </c>
      <c r="B482" s="59" t="s">
        <v>34</v>
      </c>
      <c r="C482" s="60" t="s">
        <v>35</v>
      </c>
      <c r="D482" s="76" t="s">
        <v>16</v>
      </c>
      <c r="E482" s="61" t="s">
        <v>1783</v>
      </c>
      <c r="F482" s="61">
        <f>E482*E481</f>
        <v>404.06746800000002</v>
      </c>
    </row>
    <row r="483" spans="1:6" x14ac:dyDescent="0.25">
      <c r="A483" s="58" t="s">
        <v>535</v>
      </c>
      <c r="B483" s="59" t="s">
        <v>14</v>
      </c>
      <c r="C483" s="60" t="s">
        <v>15</v>
      </c>
      <c r="D483" s="76" t="s">
        <v>16</v>
      </c>
      <c r="E483" s="61" t="s">
        <v>687</v>
      </c>
      <c r="F483" s="61">
        <f>E483*E481</f>
        <v>1.685084</v>
      </c>
    </row>
    <row r="484" spans="1:6" ht="22.5" x14ac:dyDescent="0.25">
      <c r="A484" s="58" t="s">
        <v>538</v>
      </c>
      <c r="B484" s="59" t="s">
        <v>539</v>
      </c>
      <c r="C484" s="60" t="s">
        <v>540</v>
      </c>
      <c r="D484" s="76" t="s">
        <v>21</v>
      </c>
      <c r="E484" s="61" t="s">
        <v>1784</v>
      </c>
      <c r="F484" s="61">
        <f>E484*E481</f>
        <v>0.66619600000000001</v>
      </c>
    </row>
    <row r="485" spans="1:6" ht="22.5" x14ac:dyDescent="0.25">
      <c r="A485" s="58" t="s">
        <v>543</v>
      </c>
      <c r="B485" s="59" t="s">
        <v>239</v>
      </c>
      <c r="C485" s="60" t="s">
        <v>190</v>
      </c>
      <c r="D485" s="76" t="s">
        <v>21</v>
      </c>
      <c r="E485" s="61" t="s">
        <v>1786</v>
      </c>
      <c r="F485" s="61">
        <f>E485*E481</f>
        <v>1.018888</v>
      </c>
    </row>
    <row r="486" spans="1:6" ht="33.75" x14ac:dyDescent="0.25">
      <c r="A486" s="58" t="s">
        <v>548</v>
      </c>
      <c r="B486" s="59" t="s">
        <v>1788</v>
      </c>
      <c r="C486" s="60" t="s">
        <v>1789</v>
      </c>
      <c r="D486" s="76" t="s">
        <v>60</v>
      </c>
      <c r="E486" s="61" t="s">
        <v>1790</v>
      </c>
      <c r="F486" s="61">
        <f>E486*E481</f>
        <v>3.9188000000000001E-2</v>
      </c>
    </row>
    <row r="487" spans="1:6" x14ac:dyDescent="0.25">
      <c r="A487" s="58" t="s">
        <v>553</v>
      </c>
      <c r="B487" s="59" t="s">
        <v>1792</v>
      </c>
      <c r="C487" s="60" t="s">
        <v>1793</v>
      </c>
      <c r="D487" s="76" t="s">
        <v>524</v>
      </c>
      <c r="E487" s="61" t="s">
        <v>57</v>
      </c>
      <c r="F487" s="61">
        <f>E487*E481</f>
        <v>15.6752</v>
      </c>
    </row>
    <row r="488" spans="1:6" x14ac:dyDescent="0.25">
      <c r="A488" s="58" t="s">
        <v>556</v>
      </c>
      <c r="B488" s="59" t="s">
        <v>1795</v>
      </c>
      <c r="C488" s="60" t="s">
        <v>1798</v>
      </c>
      <c r="D488" s="76" t="s">
        <v>1320</v>
      </c>
      <c r="E488" s="61" t="s">
        <v>587</v>
      </c>
      <c r="F488" s="61">
        <f>E488*E481</f>
        <v>2.899912</v>
      </c>
    </row>
    <row r="489" spans="1:6" ht="22.5" x14ac:dyDescent="0.25">
      <c r="A489" s="55" t="s">
        <v>566</v>
      </c>
      <c r="B489" s="56" t="s">
        <v>2177</v>
      </c>
      <c r="C489" s="57" t="s">
        <v>2178</v>
      </c>
      <c r="D489" s="75" t="s">
        <v>686</v>
      </c>
      <c r="E489" s="122" t="s">
        <v>2179</v>
      </c>
      <c r="F489" s="123"/>
    </row>
    <row r="490" spans="1:6" x14ac:dyDescent="0.25">
      <c r="A490" s="58" t="s">
        <v>570</v>
      </c>
      <c r="B490" s="59" t="s">
        <v>34</v>
      </c>
      <c r="C490" s="60" t="s">
        <v>35</v>
      </c>
      <c r="D490" s="76" t="s">
        <v>16</v>
      </c>
      <c r="E490" s="61" t="s">
        <v>2180</v>
      </c>
      <c r="F490" s="61">
        <f>E490*E489</f>
        <v>136.18799999999999</v>
      </c>
    </row>
    <row r="491" spans="1:6" x14ac:dyDescent="0.25">
      <c r="A491" s="58" t="s">
        <v>573</v>
      </c>
      <c r="B491" s="59" t="s">
        <v>14</v>
      </c>
      <c r="C491" s="60" t="s">
        <v>15</v>
      </c>
      <c r="D491" s="76" t="s">
        <v>16</v>
      </c>
      <c r="E491" s="61" t="s">
        <v>2182</v>
      </c>
      <c r="F491" s="61">
        <f>E491*E489</f>
        <v>21.621600000000001</v>
      </c>
    </row>
    <row r="492" spans="1:6" x14ac:dyDescent="0.25">
      <c r="A492" s="58" t="s">
        <v>576</v>
      </c>
      <c r="B492" s="59" t="s">
        <v>2184</v>
      </c>
      <c r="C492" s="60" t="s">
        <v>2185</v>
      </c>
      <c r="D492" s="76" t="s">
        <v>21</v>
      </c>
      <c r="E492" s="61" t="s">
        <v>2186</v>
      </c>
      <c r="F492" s="61">
        <f>E492*E489</f>
        <v>20.035079999999997</v>
      </c>
    </row>
    <row r="493" spans="1:6" ht="33.75" x14ac:dyDescent="0.25">
      <c r="A493" s="58" t="s">
        <v>578</v>
      </c>
      <c r="B493" s="59" t="s">
        <v>313</v>
      </c>
      <c r="C493" s="60" t="s">
        <v>314</v>
      </c>
      <c r="D493" s="76" t="s">
        <v>21</v>
      </c>
      <c r="E493" s="61" t="s">
        <v>1894</v>
      </c>
      <c r="F493" s="61">
        <f>E493*E489</f>
        <v>0.24569999999999997</v>
      </c>
    </row>
    <row r="494" spans="1:6" x14ac:dyDescent="0.25">
      <c r="A494" s="58" t="s">
        <v>581</v>
      </c>
      <c r="B494" s="59" t="s">
        <v>328</v>
      </c>
      <c r="C494" s="60" t="s">
        <v>329</v>
      </c>
      <c r="D494" s="76" t="s">
        <v>21</v>
      </c>
      <c r="E494" s="61" t="s">
        <v>2189</v>
      </c>
      <c r="F494" s="61">
        <f>E494*E489</f>
        <v>0.97577999999999987</v>
      </c>
    </row>
    <row r="495" spans="1:6" ht="22.5" x14ac:dyDescent="0.25">
      <c r="A495" s="58" t="s">
        <v>584</v>
      </c>
      <c r="B495" s="59" t="s">
        <v>189</v>
      </c>
      <c r="C495" s="60" t="s">
        <v>190</v>
      </c>
      <c r="D495" s="76" t="s">
        <v>21</v>
      </c>
      <c r="E495" s="61" t="s">
        <v>1807</v>
      </c>
      <c r="F495" s="61">
        <f>E495*E489</f>
        <v>0.36503999999999998</v>
      </c>
    </row>
    <row r="496" spans="1:6" ht="56.25" x14ac:dyDescent="0.25">
      <c r="A496" s="58" t="s">
        <v>586</v>
      </c>
      <c r="B496" s="59" t="s">
        <v>2192</v>
      </c>
      <c r="C496" s="60" t="s">
        <v>2193</v>
      </c>
      <c r="D496" s="76" t="s">
        <v>21</v>
      </c>
      <c r="E496" s="61" t="s">
        <v>161</v>
      </c>
      <c r="F496" s="61">
        <f>E496*E489</f>
        <v>8.4239999999999995</v>
      </c>
    </row>
    <row r="497" spans="1:6" x14ac:dyDescent="0.25">
      <c r="A497" s="58" t="s">
        <v>589</v>
      </c>
      <c r="B497" s="59" t="s">
        <v>193</v>
      </c>
      <c r="C497" s="60" t="s">
        <v>194</v>
      </c>
      <c r="D497" s="76" t="s">
        <v>54</v>
      </c>
      <c r="E497" s="61" t="s">
        <v>228</v>
      </c>
      <c r="F497" s="61">
        <f>E497*E489</f>
        <v>12.635999999999999</v>
      </c>
    </row>
    <row r="498" spans="1:6" ht="22.5" x14ac:dyDescent="0.25">
      <c r="A498" s="58" t="s">
        <v>2196</v>
      </c>
      <c r="B498" s="59" t="s">
        <v>2197</v>
      </c>
      <c r="C498" s="60" t="s">
        <v>2198</v>
      </c>
      <c r="D498" s="76" t="s">
        <v>367</v>
      </c>
      <c r="E498" s="61" t="s">
        <v>1896</v>
      </c>
      <c r="F498" s="61">
        <f>E498*E489</f>
        <v>0.30887999999999999</v>
      </c>
    </row>
    <row r="499" spans="1:6" ht="22.5" x14ac:dyDescent="0.25">
      <c r="A499" s="65" t="s">
        <v>2200</v>
      </c>
      <c r="B499" s="59" t="s">
        <v>2201</v>
      </c>
      <c r="C499" s="60" t="s">
        <v>2244</v>
      </c>
      <c r="D499" s="76" t="s">
        <v>200</v>
      </c>
      <c r="E499" s="61" t="s">
        <v>2202</v>
      </c>
      <c r="F499" s="61">
        <f>E499*E489</f>
        <v>709.02</v>
      </c>
    </row>
    <row r="500" spans="1:6" ht="22.5" x14ac:dyDescent="0.25">
      <c r="A500" s="55" t="s">
        <v>1159</v>
      </c>
      <c r="B500" s="56" t="s">
        <v>2204</v>
      </c>
      <c r="C500" s="57" t="s">
        <v>2205</v>
      </c>
      <c r="D500" s="75" t="s">
        <v>54</v>
      </c>
      <c r="E500" s="122" t="s">
        <v>2206</v>
      </c>
      <c r="F500" s="123"/>
    </row>
    <row r="501" spans="1:6" x14ac:dyDescent="0.25">
      <c r="A501" s="58" t="s">
        <v>1162</v>
      </c>
      <c r="B501" s="59" t="s">
        <v>34</v>
      </c>
      <c r="C501" s="60" t="s">
        <v>35</v>
      </c>
      <c r="D501" s="76" t="s">
        <v>16</v>
      </c>
      <c r="E501" s="61" t="s">
        <v>1878</v>
      </c>
      <c r="F501" s="61">
        <f>E501*E500</f>
        <v>70.551000000000002</v>
      </c>
    </row>
    <row r="502" spans="1:6" x14ac:dyDescent="0.25">
      <c r="A502" s="58" t="s">
        <v>1163</v>
      </c>
      <c r="B502" s="59" t="s">
        <v>14</v>
      </c>
      <c r="C502" s="60" t="s">
        <v>15</v>
      </c>
      <c r="D502" s="76" t="s">
        <v>16</v>
      </c>
      <c r="E502" s="61" t="s">
        <v>2208</v>
      </c>
      <c r="F502" s="61">
        <f>E502*E500</f>
        <v>1.3337999999999999</v>
      </c>
    </row>
    <row r="503" spans="1:6" x14ac:dyDescent="0.25">
      <c r="A503" s="58" t="s">
        <v>1164</v>
      </c>
      <c r="B503" s="59" t="s">
        <v>170</v>
      </c>
      <c r="C503" s="60" t="s">
        <v>171</v>
      </c>
      <c r="D503" s="76" t="s">
        <v>21</v>
      </c>
      <c r="E503" s="61" t="s">
        <v>78</v>
      </c>
      <c r="F503" s="61">
        <f>E503*E500</f>
        <v>0.70199999999999996</v>
      </c>
    </row>
    <row r="504" spans="1:6" x14ac:dyDescent="0.25">
      <c r="A504" s="58" t="s">
        <v>1167</v>
      </c>
      <c r="B504" s="59" t="s">
        <v>2210</v>
      </c>
      <c r="C504" s="60" t="s">
        <v>881</v>
      </c>
      <c r="D504" s="76" t="s">
        <v>21</v>
      </c>
      <c r="E504" s="61" t="s">
        <v>525</v>
      </c>
      <c r="F504" s="61">
        <f>E504*E500</f>
        <v>1.0529999999999999</v>
      </c>
    </row>
    <row r="505" spans="1:6" ht="22.5" x14ac:dyDescent="0.25">
      <c r="A505" s="58" t="s">
        <v>1168</v>
      </c>
      <c r="B505" s="59" t="s">
        <v>239</v>
      </c>
      <c r="C505" s="60" t="s">
        <v>190</v>
      </c>
      <c r="D505" s="76" t="s">
        <v>21</v>
      </c>
      <c r="E505" s="61" t="s">
        <v>2208</v>
      </c>
      <c r="F505" s="61">
        <f>E505*E500</f>
        <v>1.3337999999999999</v>
      </c>
    </row>
    <row r="506" spans="1:6" ht="22.5" x14ac:dyDescent="0.25">
      <c r="A506" s="58" t="s">
        <v>1169</v>
      </c>
      <c r="B506" s="59" t="s">
        <v>1901</v>
      </c>
      <c r="C506" s="60" t="s">
        <v>1902</v>
      </c>
      <c r="D506" s="76" t="s">
        <v>60</v>
      </c>
      <c r="E506" s="61" t="s">
        <v>2212</v>
      </c>
      <c r="F506" s="61">
        <f>E506*E500</f>
        <v>6.5285999999999999E-3</v>
      </c>
    </row>
    <row r="507" spans="1:6" x14ac:dyDescent="0.25">
      <c r="A507" s="58" t="s">
        <v>1170</v>
      </c>
      <c r="B507" s="59" t="s">
        <v>1796</v>
      </c>
      <c r="C507" s="60" t="s">
        <v>1032</v>
      </c>
      <c r="D507" s="76" t="s">
        <v>60</v>
      </c>
      <c r="E507" s="61" t="s">
        <v>2214</v>
      </c>
      <c r="F507" s="61">
        <f>E507*E500</f>
        <v>6.4934999999999993E-2</v>
      </c>
    </row>
    <row r="508" spans="1:6" x14ac:dyDescent="0.25">
      <c r="A508" s="58" t="s">
        <v>1171</v>
      </c>
      <c r="B508" s="59" t="s">
        <v>249</v>
      </c>
      <c r="C508" s="60" t="s">
        <v>250</v>
      </c>
      <c r="D508" s="76" t="s">
        <v>60</v>
      </c>
      <c r="E508" s="61" t="s">
        <v>1895</v>
      </c>
      <c r="F508" s="61">
        <f>E508*E500</f>
        <v>1.7549999999999998E-3</v>
      </c>
    </row>
    <row r="509" spans="1:6" ht="22.5" x14ac:dyDescent="0.25">
      <c r="A509" s="58" t="s">
        <v>1172</v>
      </c>
      <c r="B509" s="59" t="s">
        <v>2197</v>
      </c>
      <c r="C509" s="60" t="s">
        <v>2198</v>
      </c>
      <c r="D509" s="76" t="s">
        <v>367</v>
      </c>
      <c r="E509" s="61" t="s">
        <v>1899</v>
      </c>
      <c r="F509" s="61">
        <f>E509*E500</f>
        <v>1.6146</v>
      </c>
    </row>
    <row r="510" spans="1:6" ht="22.5" x14ac:dyDescent="0.25">
      <c r="A510" s="58" t="s">
        <v>1173</v>
      </c>
      <c r="B510" s="59" t="s">
        <v>2218</v>
      </c>
      <c r="C510" s="60" t="s">
        <v>2219</v>
      </c>
      <c r="D510" s="76" t="s">
        <v>60</v>
      </c>
      <c r="E510" s="61" t="s">
        <v>2220</v>
      </c>
      <c r="F510" s="61">
        <f>E510*E500</f>
        <v>1.4741999999999998E-2</v>
      </c>
    </row>
    <row r="511" spans="1:6" ht="33.75" x14ac:dyDescent="0.25">
      <c r="A511" s="58" t="s">
        <v>1174</v>
      </c>
      <c r="B511" s="59" t="s">
        <v>1773</v>
      </c>
      <c r="C511" s="60" t="s">
        <v>1774</v>
      </c>
      <c r="D511" s="76" t="s">
        <v>54</v>
      </c>
      <c r="E511" s="61" t="s">
        <v>564</v>
      </c>
      <c r="F511" s="61">
        <f>E511*E500</f>
        <v>2.5271999999999997</v>
      </c>
    </row>
    <row r="512" spans="1:6" ht="45" x14ac:dyDescent="0.25">
      <c r="A512" s="58" t="s">
        <v>2223</v>
      </c>
      <c r="B512" s="59" t="s">
        <v>2224</v>
      </c>
      <c r="C512" s="60" t="s">
        <v>2225</v>
      </c>
      <c r="D512" s="76" t="s">
        <v>54</v>
      </c>
      <c r="E512" s="61" t="s">
        <v>541</v>
      </c>
      <c r="F512" s="61">
        <f>E512*E500</f>
        <v>1.1582999999999999</v>
      </c>
    </row>
    <row r="513" spans="1:6" ht="33.75" x14ac:dyDescent="0.25">
      <c r="A513" s="58" t="s">
        <v>2227</v>
      </c>
      <c r="B513" s="59" t="s">
        <v>2228</v>
      </c>
      <c r="C513" s="60" t="s">
        <v>2229</v>
      </c>
      <c r="D513" s="76" t="s">
        <v>54</v>
      </c>
      <c r="E513" s="61" t="s">
        <v>1771</v>
      </c>
      <c r="F513" s="61">
        <f>E513*E500</f>
        <v>0.12285</v>
      </c>
    </row>
    <row r="514" spans="1:6" ht="22.5" x14ac:dyDescent="0.25">
      <c r="A514" s="58" t="s">
        <v>2231</v>
      </c>
      <c r="B514" s="59" t="s">
        <v>2232</v>
      </c>
      <c r="C514" s="60" t="s">
        <v>2233</v>
      </c>
      <c r="D514" s="76" t="s">
        <v>60</v>
      </c>
      <c r="E514" s="61" t="s">
        <v>2234</v>
      </c>
      <c r="F514" s="61">
        <f>E514*E500</f>
        <v>3.7556999999999998E-3</v>
      </c>
    </row>
    <row r="515" spans="1:6" ht="22.5" x14ac:dyDescent="0.25">
      <c r="A515" s="55" t="s">
        <v>1177</v>
      </c>
      <c r="B515" s="56" t="s">
        <v>2236</v>
      </c>
      <c r="C515" s="57" t="s">
        <v>2237</v>
      </c>
      <c r="D515" s="75" t="s">
        <v>200</v>
      </c>
      <c r="E515" s="122" t="s">
        <v>2238</v>
      </c>
      <c r="F515" s="123"/>
    </row>
    <row r="516" spans="1:6" x14ac:dyDescent="0.25">
      <c r="A516" s="55" t="s">
        <v>1229</v>
      </c>
      <c r="B516" s="56" t="s">
        <v>2239</v>
      </c>
      <c r="C516" s="57" t="s">
        <v>2240</v>
      </c>
      <c r="D516" s="75" t="s">
        <v>164</v>
      </c>
      <c r="E516" s="122" t="s">
        <v>197</v>
      </c>
      <c r="F516" s="123"/>
    </row>
    <row r="517" spans="1:6" ht="22.5" x14ac:dyDescent="0.25">
      <c r="A517" s="55" t="s">
        <v>1261</v>
      </c>
      <c r="B517" s="56" t="s">
        <v>2241</v>
      </c>
      <c r="C517" s="57" t="s">
        <v>2242</v>
      </c>
      <c r="D517" s="75" t="s">
        <v>21</v>
      </c>
      <c r="E517" s="122" t="s">
        <v>2243</v>
      </c>
      <c r="F517" s="123"/>
    </row>
    <row r="518" spans="1:6" ht="25.5" customHeight="1" x14ac:dyDescent="0.25">
      <c r="A518" s="6"/>
      <c r="B518" s="124" t="s">
        <v>855</v>
      </c>
      <c r="C518" s="124"/>
      <c r="D518" s="124"/>
      <c r="E518" s="36"/>
      <c r="F518" s="36"/>
    </row>
    <row r="519" spans="1:6" ht="18" x14ac:dyDescent="0.25">
      <c r="A519" s="11" t="s">
        <v>8</v>
      </c>
      <c r="B519" s="11" t="s">
        <v>371</v>
      </c>
      <c r="C519" s="12" t="s">
        <v>372</v>
      </c>
      <c r="D519" s="84" t="s">
        <v>107</v>
      </c>
      <c r="E519" s="126" t="s">
        <v>756</v>
      </c>
      <c r="F519" s="126"/>
    </row>
    <row r="520" spans="1:6" x14ac:dyDescent="0.25">
      <c r="A520" s="13" t="s">
        <v>13</v>
      </c>
      <c r="B520" s="13" t="s">
        <v>34</v>
      </c>
      <c r="C520" s="14" t="s">
        <v>35</v>
      </c>
      <c r="D520" s="38" t="s">
        <v>16</v>
      </c>
      <c r="E520" s="38" t="s">
        <v>375</v>
      </c>
      <c r="F520" s="38">
        <f>E520*E519</f>
        <v>92.573999999999998</v>
      </c>
    </row>
    <row r="521" spans="1:6" x14ac:dyDescent="0.25">
      <c r="A521" s="13" t="s">
        <v>18</v>
      </c>
      <c r="B521" s="13" t="s">
        <v>14</v>
      </c>
      <c r="C521" s="14" t="s">
        <v>15</v>
      </c>
      <c r="D521" s="38" t="s">
        <v>16</v>
      </c>
      <c r="E521" s="38" t="s">
        <v>378</v>
      </c>
      <c r="F521" s="38">
        <f>E521*E519</f>
        <v>16.00731</v>
      </c>
    </row>
    <row r="522" spans="1:6" ht="19.5" x14ac:dyDescent="0.25">
      <c r="A522" s="13" t="s">
        <v>759</v>
      </c>
      <c r="B522" s="13" t="s">
        <v>381</v>
      </c>
      <c r="C522" s="14" t="s">
        <v>382</v>
      </c>
      <c r="D522" s="38" t="s">
        <v>21</v>
      </c>
      <c r="E522" s="38" t="s">
        <v>221</v>
      </c>
      <c r="F522" s="38">
        <f>E522*E519</f>
        <v>1.776</v>
      </c>
    </row>
    <row r="523" spans="1:6" ht="29.25" x14ac:dyDescent="0.25">
      <c r="A523" s="13" t="s">
        <v>761</v>
      </c>
      <c r="B523" s="13" t="s">
        <v>313</v>
      </c>
      <c r="C523" s="14" t="s">
        <v>314</v>
      </c>
      <c r="D523" s="38" t="s">
        <v>21</v>
      </c>
      <c r="E523" s="38" t="s">
        <v>385</v>
      </c>
      <c r="F523" s="38">
        <f>E523*E519</f>
        <v>0.36629999999999996</v>
      </c>
    </row>
    <row r="524" spans="1:6" ht="29.25" x14ac:dyDescent="0.25">
      <c r="A524" s="13" t="s">
        <v>763</v>
      </c>
      <c r="B524" s="13" t="s">
        <v>318</v>
      </c>
      <c r="C524" s="14" t="s">
        <v>319</v>
      </c>
      <c r="D524" s="38" t="s">
        <v>21</v>
      </c>
      <c r="E524" s="38" t="s">
        <v>388</v>
      </c>
      <c r="F524" s="38">
        <f>E524*E519</f>
        <v>14.548769999999999</v>
      </c>
    </row>
    <row r="525" spans="1:6" x14ac:dyDescent="0.25">
      <c r="A525" s="13" t="s">
        <v>765</v>
      </c>
      <c r="B525" s="13" t="s">
        <v>239</v>
      </c>
      <c r="C525" s="14" t="s">
        <v>190</v>
      </c>
      <c r="D525" s="38" t="s">
        <v>21</v>
      </c>
      <c r="E525" s="38" t="s">
        <v>391</v>
      </c>
      <c r="F525" s="38">
        <f>E525*E519</f>
        <v>1.0922400000000001</v>
      </c>
    </row>
    <row r="526" spans="1:6" x14ac:dyDescent="0.25">
      <c r="A526" s="13" t="s">
        <v>767</v>
      </c>
      <c r="B526" s="13" t="s">
        <v>340</v>
      </c>
      <c r="C526" s="14" t="s">
        <v>341</v>
      </c>
      <c r="D526" s="38" t="s">
        <v>54</v>
      </c>
      <c r="E526" s="38" t="s">
        <v>394</v>
      </c>
      <c r="F526" s="38">
        <f>E526*E519</f>
        <v>0.53723999999999994</v>
      </c>
    </row>
    <row r="527" spans="1:6" x14ac:dyDescent="0.25">
      <c r="A527" s="13" t="s">
        <v>769</v>
      </c>
      <c r="B527" s="13" t="s">
        <v>249</v>
      </c>
      <c r="C527" s="14" t="s">
        <v>250</v>
      </c>
      <c r="D527" s="38" t="s">
        <v>60</v>
      </c>
      <c r="E527" s="38" t="s">
        <v>397</v>
      </c>
      <c r="F527" s="38">
        <f>E527*E519</f>
        <v>6.9930000000000001E-3</v>
      </c>
    </row>
    <row r="528" spans="1:6" x14ac:dyDescent="0.25">
      <c r="A528" s="13" t="s">
        <v>771</v>
      </c>
      <c r="B528" s="13" t="s">
        <v>400</v>
      </c>
      <c r="C528" s="14" t="s">
        <v>401</v>
      </c>
      <c r="D528" s="38" t="s">
        <v>60</v>
      </c>
      <c r="E528" s="38" t="s">
        <v>97</v>
      </c>
      <c r="F528" s="38">
        <f>E528*E519</f>
        <v>1.332E-2</v>
      </c>
    </row>
    <row r="529" spans="1:6" x14ac:dyDescent="0.25">
      <c r="A529" s="13" t="s">
        <v>773</v>
      </c>
      <c r="B529" s="13" t="s">
        <v>404</v>
      </c>
      <c r="C529" s="14" t="s">
        <v>405</v>
      </c>
      <c r="D529" s="38" t="s">
        <v>60</v>
      </c>
      <c r="E529" s="38" t="s">
        <v>406</v>
      </c>
      <c r="F529" s="38">
        <f>E529*E519</f>
        <v>8.8800000000000001E-4</v>
      </c>
    </row>
    <row r="530" spans="1:6" ht="29.25" x14ac:dyDescent="0.25">
      <c r="A530" s="13" t="s">
        <v>775</v>
      </c>
      <c r="B530" s="13" t="s">
        <v>409</v>
      </c>
      <c r="C530" s="14" t="s">
        <v>410</v>
      </c>
      <c r="D530" s="38" t="s">
        <v>54</v>
      </c>
      <c r="E530" s="38" t="s">
        <v>411</v>
      </c>
      <c r="F530" s="38">
        <f>E530*E519</f>
        <v>0.64268999999999998</v>
      </c>
    </row>
    <row r="531" spans="1:6" ht="29.25" x14ac:dyDescent="0.25">
      <c r="A531" s="13" t="s">
        <v>777</v>
      </c>
      <c r="B531" s="13" t="s">
        <v>414</v>
      </c>
      <c r="C531" s="14" t="s">
        <v>415</v>
      </c>
      <c r="D531" s="38" t="s">
        <v>54</v>
      </c>
      <c r="E531" s="38" t="s">
        <v>120</v>
      </c>
      <c r="F531" s="38">
        <f>E531*E519</f>
        <v>2.664E-2</v>
      </c>
    </row>
    <row r="532" spans="1:6" x14ac:dyDescent="0.25">
      <c r="A532" s="13" t="s">
        <v>779</v>
      </c>
      <c r="B532" s="13" t="s">
        <v>418</v>
      </c>
      <c r="C532" s="14" t="s">
        <v>419</v>
      </c>
      <c r="D532" s="38" t="s">
        <v>60</v>
      </c>
      <c r="E532" s="38" t="s">
        <v>420</v>
      </c>
      <c r="F532" s="38">
        <f>E532*E519</f>
        <v>1.9979999999999998E-3</v>
      </c>
    </row>
    <row r="533" spans="1:6" x14ac:dyDescent="0.25">
      <c r="A533" s="13" t="s">
        <v>781</v>
      </c>
      <c r="B533" s="13" t="s">
        <v>423</v>
      </c>
      <c r="C533" s="14" t="s">
        <v>424</v>
      </c>
      <c r="D533" s="38" t="s">
        <v>60</v>
      </c>
      <c r="E533" s="38" t="s">
        <v>425</v>
      </c>
      <c r="F533" s="38">
        <f>E533*E519</f>
        <v>7.8809999999999991E-2</v>
      </c>
    </row>
    <row r="534" spans="1:6" x14ac:dyDescent="0.25">
      <c r="A534" s="13" t="s">
        <v>783</v>
      </c>
      <c r="B534" s="13" t="s">
        <v>784</v>
      </c>
      <c r="C534" s="14" t="s">
        <v>785</v>
      </c>
      <c r="D534" s="38" t="s">
        <v>54</v>
      </c>
      <c r="E534" s="38" t="s">
        <v>682</v>
      </c>
      <c r="F534" s="38">
        <f>E534*E519</f>
        <v>11.1</v>
      </c>
    </row>
    <row r="535" spans="1:6" ht="18" x14ac:dyDescent="0.25">
      <c r="A535" s="11" t="s">
        <v>23</v>
      </c>
      <c r="B535" s="11" t="s">
        <v>229</v>
      </c>
      <c r="C535" s="12" t="s">
        <v>230</v>
      </c>
      <c r="D535" s="84" t="s">
        <v>107</v>
      </c>
      <c r="E535" s="126" t="s">
        <v>704</v>
      </c>
      <c r="F535" s="126"/>
    </row>
    <row r="536" spans="1:6" x14ac:dyDescent="0.25">
      <c r="A536" s="13" t="s">
        <v>26</v>
      </c>
      <c r="B536" s="13" t="s">
        <v>34</v>
      </c>
      <c r="C536" s="14" t="s">
        <v>35</v>
      </c>
      <c r="D536" s="38" t="s">
        <v>16</v>
      </c>
      <c r="E536" s="38" t="s">
        <v>233</v>
      </c>
      <c r="F536" s="38">
        <f>E536*E535</f>
        <v>748.8</v>
      </c>
    </row>
    <row r="537" spans="1:6" x14ac:dyDescent="0.25">
      <c r="A537" s="13" t="s">
        <v>29</v>
      </c>
      <c r="B537" s="13" t="s">
        <v>14</v>
      </c>
      <c r="C537" s="14" t="s">
        <v>15</v>
      </c>
      <c r="D537" s="38" t="s">
        <v>16</v>
      </c>
      <c r="E537" s="38" t="s">
        <v>236</v>
      </c>
      <c r="F537" s="38">
        <f>E537*E535</f>
        <v>0.11699999999999999</v>
      </c>
    </row>
    <row r="538" spans="1:6" x14ac:dyDescent="0.25">
      <c r="A538" s="13" t="s">
        <v>789</v>
      </c>
      <c r="B538" s="13" t="s">
        <v>239</v>
      </c>
      <c r="C538" s="14" t="s">
        <v>190</v>
      </c>
      <c r="D538" s="38" t="s">
        <v>21</v>
      </c>
      <c r="E538" s="38" t="s">
        <v>236</v>
      </c>
      <c r="F538" s="38">
        <f>E538*E535</f>
        <v>0.11699999999999999</v>
      </c>
    </row>
    <row r="539" spans="1:6" x14ac:dyDescent="0.25">
      <c r="A539" s="13" t="s">
        <v>790</v>
      </c>
      <c r="B539" s="13" t="s">
        <v>241</v>
      </c>
      <c r="C539" s="14" t="s">
        <v>242</v>
      </c>
      <c r="D539" s="38" t="s">
        <v>54</v>
      </c>
      <c r="E539" s="38" t="s">
        <v>243</v>
      </c>
      <c r="F539" s="38">
        <f>E539*E535</f>
        <v>204.75</v>
      </c>
    </row>
    <row r="540" spans="1:6" x14ac:dyDescent="0.25">
      <c r="A540" s="13" t="s">
        <v>792</v>
      </c>
      <c r="B540" s="13" t="s">
        <v>246</v>
      </c>
      <c r="C540" s="14" t="s">
        <v>194</v>
      </c>
      <c r="D540" s="38" t="s">
        <v>54</v>
      </c>
      <c r="E540" s="38" t="s">
        <v>172</v>
      </c>
      <c r="F540" s="38">
        <f>E540*E535</f>
        <v>25.349999999999998</v>
      </c>
    </row>
    <row r="541" spans="1:6" x14ac:dyDescent="0.25">
      <c r="A541" s="13" t="s">
        <v>794</v>
      </c>
      <c r="B541" s="13" t="s">
        <v>249</v>
      </c>
      <c r="C541" s="14" t="s">
        <v>250</v>
      </c>
      <c r="D541" s="38" t="s">
        <v>60</v>
      </c>
      <c r="E541" s="38" t="s">
        <v>251</v>
      </c>
      <c r="F541" s="38">
        <f>E541*E535</f>
        <v>5.2650000000000006E-3</v>
      </c>
    </row>
    <row r="542" spans="1:6" ht="29.25" x14ac:dyDescent="0.25">
      <c r="A542" s="13" t="s">
        <v>796</v>
      </c>
      <c r="B542" s="13" t="s">
        <v>254</v>
      </c>
      <c r="C542" s="14" t="s">
        <v>255</v>
      </c>
      <c r="D542" s="38" t="s">
        <v>54</v>
      </c>
      <c r="E542" s="38" t="s">
        <v>256</v>
      </c>
      <c r="F542" s="38">
        <f>E542*E535</f>
        <v>0.29835</v>
      </c>
    </row>
    <row r="543" spans="1:6" ht="18" x14ac:dyDescent="0.25">
      <c r="A543" s="11" t="s">
        <v>30</v>
      </c>
      <c r="B543" s="11" t="s">
        <v>173</v>
      </c>
      <c r="C543" s="12" t="s">
        <v>174</v>
      </c>
      <c r="D543" s="84" t="s">
        <v>175</v>
      </c>
      <c r="E543" s="126" t="s">
        <v>798</v>
      </c>
      <c r="F543" s="126"/>
    </row>
    <row r="544" spans="1:6" x14ac:dyDescent="0.25">
      <c r="A544" s="13" t="s">
        <v>33</v>
      </c>
      <c r="B544" s="13" t="s">
        <v>34</v>
      </c>
      <c r="C544" s="14" t="s">
        <v>35</v>
      </c>
      <c r="D544" s="38" t="s">
        <v>16</v>
      </c>
      <c r="E544" s="38" t="s">
        <v>178</v>
      </c>
      <c r="F544" s="38">
        <f>E544*E543</f>
        <v>73.224000000000004</v>
      </c>
    </row>
    <row r="545" spans="1:6" x14ac:dyDescent="0.25">
      <c r="A545" s="13" t="s">
        <v>38</v>
      </c>
      <c r="B545" s="13" t="s">
        <v>14</v>
      </c>
      <c r="C545" s="14" t="s">
        <v>15</v>
      </c>
      <c r="D545" s="38" t="s">
        <v>16</v>
      </c>
      <c r="E545" s="38" t="s">
        <v>181</v>
      </c>
      <c r="F545" s="38">
        <f>E545*E543</f>
        <v>11.340000000000002</v>
      </c>
    </row>
    <row r="546" spans="1:6" ht="29.25" x14ac:dyDescent="0.25">
      <c r="A546" s="13" t="s">
        <v>41</v>
      </c>
      <c r="B546" s="13" t="s">
        <v>184</v>
      </c>
      <c r="C546" s="14" t="s">
        <v>185</v>
      </c>
      <c r="D546" s="38" t="s">
        <v>21</v>
      </c>
      <c r="E546" s="38" t="s">
        <v>186</v>
      </c>
      <c r="F546" s="38">
        <f>E546*E543</f>
        <v>10.935</v>
      </c>
    </row>
    <row r="547" spans="1:6" x14ac:dyDescent="0.25">
      <c r="A547" s="13" t="s">
        <v>46</v>
      </c>
      <c r="B547" s="13" t="s">
        <v>189</v>
      </c>
      <c r="C547" s="14" t="s">
        <v>190</v>
      </c>
      <c r="D547" s="38" t="s">
        <v>21</v>
      </c>
      <c r="E547" s="38" t="s">
        <v>191</v>
      </c>
      <c r="F547" s="38">
        <f>E547*E543</f>
        <v>0.40500000000000003</v>
      </c>
    </row>
    <row r="548" spans="1:6" x14ac:dyDescent="0.25">
      <c r="A548" s="13" t="s">
        <v>51</v>
      </c>
      <c r="B548" s="13" t="s">
        <v>193</v>
      </c>
      <c r="C548" s="14" t="s">
        <v>194</v>
      </c>
      <c r="D548" s="38" t="s">
        <v>54</v>
      </c>
      <c r="E548" s="38" t="s">
        <v>195</v>
      </c>
      <c r="F548" s="38">
        <f>E548*E543</f>
        <v>13.230000000000002</v>
      </c>
    </row>
    <row r="549" spans="1:6" ht="18" x14ac:dyDescent="0.25">
      <c r="A549" s="11" t="s">
        <v>57</v>
      </c>
      <c r="B549" s="11" t="s">
        <v>198</v>
      </c>
      <c r="C549" s="12" t="s">
        <v>199</v>
      </c>
      <c r="D549" s="84" t="s">
        <v>200</v>
      </c>
      <c r="E549" s="126" t="s">
        <v>804</v>
      </c>
      <c r="F549" s="126"/>
    </row>
    <row r="550" spans="1:6" ht="18" x14ac:dyDescent="0.25">
      <c r="A550" s="11" t="s">
        <v>68</v>
      </c>
      <c r="B550" s="11" t="s">
        <v>805</v>
      </c>
      <c r="C550" s="12" t="s">
        <v>806</v>
      </c>
      <c r="D550" s="84" t="s">
        <v>200</v>
      </c>
      <c r="E550" s="126" t="s">
        <v>807</v>
      </c>
      <c r="F550" s="126"/>
    </row>
    <row r="551" spans="1:6" ht="18" x14ac:dyDescent="0.25">
      <c r="A551" s="11" t="s">
        <v>80</v>
      </c>
      <c r="B551" s="11" t="s">
        <v>162</v>
      </c>
      <c r="C551" s="12" t="s">
        <v>163</v>
      </c>
      <c r="D551" s="84" t="s">
        <v>164</v>
      </c>
      <c r="E551" s="126" t="s">
        <v>808</v>
      </c>
      <c r="F551" s="126"/>
    </row>
    <row r="552" spans="1:6" x14ac:dyDescent="0.25">
      <c r="A552" s="13" t="s">
        <v>84</v>
      </c>
      <c r="B552" s="13" t="s">
        <v>34</v>
      </c>
      <c r="C552" s="14" t="s">
        <v>35</v>
      </c>
      <c r="D552" s="38" t="s">
        <v>16</v>
      </c>
      <c r="E552" s="38" t="s">
        <v>167</v>
      </c>
      <c r="F552" s="38">
        <f>E552*E551</f>
        <v>22.915199999999999</v>
      </c>
    </row>
    <row r="553" spans="1:6" x14ac:dyDescent="0.25">
      <c r="A553" s="13" t="s">
        <v>87</v>
      </c>
      <c r="B553" s="13" t="s">
        <v>170</v>
      </c>
      <c r="C553" s="14" t="s">
        <v>171</v>
      </c>
      <c r="D553" s="38" t="s">
        <v>21</v>
      </c>
      <c r="E553" s="38" t="s">
        <v>167</v>
      </c>
      <c r="F553" s="38">
        <f>E553*E551</f>
        <v>22.915199999999999</v>
      </c>
    </row>
    <row r="554" spans="1:6" ht="18" x14ac:dyDescent="0.25">
      <c r="A554" s="11" t="s">
        <v>99</v>
      </c>
      <c r="B554" s="11" t="s">
        <v>510</v>
      </c>
      <c r="C554" s="12" t="s">
        <v>511</v>
      </c>
      <c r="D554" s="84" t="s">
        <v>512</v>
      </c>
      <c r="E554" s="126" t="s">
        <v>810</v>
      </c>
      <c r="F554" s="126"/>
    </row>
    <row r="555" spans="1:6" x14ac:dyDescent="0.25">
      <c r="A555" s="13" t="s">
        <v>101</v>
      </c>
      <c r="B555" s="13" t="s">
        <v>34</v>
      </c>
      <c r="C555" s="14" t="s">
        <v>35</v>
      </c>
      <c r="D555" s="38" t="s">
        <v>16</v>
      </c>
      <c r="E555" s="38" t="s">
        <v>515</v>
      </c>
      <c r="F555" s="38">
        <f>E555*E554</f>
        <v>69.680000000000007</v>
      </c>
    </row>
    <row r="556" spans="1:6" x14ac:dyDescent="0.25">
      <c r="A556" s="13" t="s">
        <v>103</v>
      </c>
      <c r="B556" s="13" t="s">
        <v>518</v>
      </c>
      <c r="C556" s="14" t="s">
        <v>519</v>
      </c>
      <c r="D556" s="38" t="s">
        <v>21</v>
      </c>
      <c r="E556" s="38" t="s">
        <v>520</v>
      </c>
      <c r="F556" s="38">
        <f>E556*E554</f>
        <v>0.20800000000000002</v>
      </c>
    </row>
    <row r="557" spans="1:6" x14ac:dyDescent="0.25">
      <c r="A557" s="13" t="s">
        <v>813</v>
      </c>
      <c r="B557" s="13" t="s">
        <v>522</v>
      </c>
      <c r="C557" s="14" t="s">
        <v>523</v>
      </c>
      <c r="D557" s="38" t="s">
        <v>524</v>
      </c>
      <c r="E557" s="38" t="s">
        <v>525</v>
      </c>
      <c r="F557" s="38">
        <f>E557*E554</f>
        <v>0.39</v>
      </c>
    </row>
    <row r="558" spans="1:6" x14ac:dyDescent="0.25">
      <c r="A558" s="11" t="s">
        <v>104</v>
      </c>
      <c r="B558" s="11" t="s">
        <v>528</v>
      </c>
      <c r="C558" s="12" t="s">
        <v>529</v>
      </c>
      <c r="D558" s="84" t="s">
        <v>530</v>
      </c>
      <c r="E558" s="126" t="s">
        <v>815</v>
      </c>
      <c r="F558" s="126"/>
    </row>
    <row r="559" spans="1:6" x14ac:dyDescent="0.25">
      <c r="A559" s="13" t="s">
        <v>109</v>
      </c>
      <c r="B559" s="13" t="s">
        <v>34</v>
      </c>
      <c r="C559" s="14" t="s">
        <v>35</v>
      </c>
      <c r="D559" s="38" t="s">
        <v>16</v>
      </c>
      <c r="E559" s="38" t="s">
        <v>533</v>
      </c>
      <c r="F559" s="38">
        <f>E559*E558</f>
        <v>0.15028</v>
      </c>
    </row>
    <row r="560" spans="1:6" x14ac:dyDescent="0.25">
      <c r="A560" s="13" t="s">
        <v>817</v>
      </c>
      <c r="B560" s="13" t="s">
        <v>14</v>
      </c>
      <c r="C560" s="14" t="s">
        <v>15</v>
      </c>
      <c r="D560" s="38" t="s">
        <v>16</v>
      </c>
      <c r="E560" s="38" t="s">
        <v>536</v>
      </c>
      <c r="F560" s="38">
        <f>E560*E558</f>
        <v>8.0339999999999995E-2</v>
      </c>
    </row>
    <row r="561" spans="1:6" ht="19.5" x14ac:dyDescent="0.25">
      <c r="A561" s="13" t="s">
        <v>819</v>
      </c>
      <c r="B561" s="13" t="s">
        <v>539</v>
      </c>
      <c r="C561" s="14" t="s">
        <v>540</v>
      </c>
      <c r="D561" s="38" t="s">
        <v>21</v>
      </c>
      <c r="E561" s="38" t="s">
        <v>541</v>
      </c>
      <c r="F561" s="38">
        <f>E561*E558</f>
        <v>8.5800000000000008E-3</v>
      </c>
    </row>
    <row r="562" spans="1:6" x14ac:dyDescent="0.25">
      <c r="A562" s="13" t="s">
        <v>821</v>
      </c>
      <c r="B562" s="13" t="s">
        <v>544</v>
      </c>
      <c r="C562" s="14" t="s">
        <v>545</v>
      </c>
      <c r="D562" s="38" t="s">
        <v>21</v>
      </c>
      <c r="E562" s="38" t="s">
        <v>546</v>
      </c>
      <c r="F562" s="38">
        <f>E562*E558</f>
        <v>4.6800000000000001E-2</v>
      </c>
    </row>
    <row r="563" spans="1:6" x14ac:dyDescent="0.25">
      <c r="A563" s="13" t="s">
        <v>823</v>
      </c>
      <c r="B563" s="13" t="s">
        <v>549</v>
      </c>
      <c r="C563" s="14" t="s">
        <v>550</v>
      </c>
      <c r="D563" s="38" t="s">
        <v>21</v>
      </c>
      <c r="E563" s="38" t="s">
        <v>551</v>
      </c>
      <c r="F563" s="38">
        <f>E563*E558</f>
        <v>5.8759999999999993E-2</v>
      </c>
    </row>
    <row r="564" spans="1:6" x14ac:dyDescent="0.25">
      <c r="A564" s="13" t="s">
        <v>825</v>
      </c>
      <c r="B564" s="13" t="s">
        <v>239</v>
      </c>
      <c r="C564" s="14" t="s">
        <v>190</v>
      </c>
      <c r="D564" s="38" t="s">
        <v>21</v>
      </c>
      <c r="E564" s="38" t="s">
        <v>554</v>
      </c>
      <c r="F564" s="38">
        <f>E564*E558</f>
        <v>1.2999999999999999E-2</v>
      </c>
    </row>
    <row r="565" spans="1:6" ht="19.5" x14ac:dyDescent="0.25">
      <c r="A565" s="13" t="s">
        <v>827</v>
      </c>
      <c r="B565" s="13" t="s">
        <v>557</v>
      </c>
      <c r="C565" s="14" t="s">
        <v>558</v>
      </c>
      <c r="D565" s="38" t="s">
        <v>60</v>
      </c>
      <c r="E565" s="38" t="s">
        <v>559</v>
      </c>
      <c r="F565" s="38">
        <f>E565*E558</f>
        <v>8.3199999999999993E-3</v>
      </c>
    </row>
    <row r="566" spans="1:6" x14ac:dyDescent="0.25">
      <c r="A566" s="13" t="s">
        <v>829</v>
      </c>
      <c r="B566" s="13" t="s">
        <v>562</v>
      </c>
      <c r="C566" s="14" t="s">
        <v>563</v>
      </c>
      <c r="D566" s="38" t="s">
        <v>60</v>
      </c>
      <c r="E566" s="38" t="s">
        <v>564</v>
      </c>
      <c r="F566" s="38">
        <f>E566*E558</f>
        <v>1.8719999999999997E-2</v>
      </c>
    </row>
    <row r="567" spans="1:6" x14ac:dyDescent="0.25">
      <c r="A567" s="11" t="s">
        <v>112</v>
      </c>
      <c r="B567" s="11" t="s">
        <v>567</v>
      </c>
      <c r="C567" s="12" t="s">
        <v>568</v>
      </c>
      <c r="D567" s="84" t="s">
        <v>530</v>
      </c>
      <c r="E567" s="126" t="s">
        <v>831</v>
      </c>
      <c r="F567" s="126"/>
    </row>
    <row r="568" spans="1:6" x14ac:dyDescent="0.25">
      <c r="A568" s="13" t="s">
        <v>115</v>
      </c>
      <c r="B568" s="13" t="s">
        <v>34</v>
      </c>
      <c r="C568" s="14" t="s">
        <v>35</v>
      </c>
      <c r="D568" s="38" t="s">
        <v>16</v>
      </c>
      <c r="E568" s="38" t="s">
        <v>571</v>
      </c>
      <c r="F568" s="38">
        <f>E568*E567</f>
        <v>4.3604600000000007</v>
      </c>
    </row>
    <row r="569" spans="1:6" x14ac:dyDescent="0.25">
      <c r="A569" s="13" t="s">
        <v>118</v>
      </c>
      <c r="B569" s="13" t="s">
        <v>14</v>
      </c>
      <c r="C569" s="14" t="s">
        <v>15</v>
      </c>
      <c r="D569" s="38" t="s">
        <v>16</v>
      </c>
      <c r="E569" s="38" t="s">
        <v>574</v>
      </c>
      <c r="F569" s="38">
        <f>E569*E567</f>
        <v>1.14452</v>
      </c>
    </row>
    <row r="570" spans="1:6" ht="19.5" x14ac:dyDescent="0.25">
      <c r="A570" s="13" t="s">
        <v>119</v>
      </c>
      <c r="B570" s="13" t="s">
        <v>539</v>
      </c>
      <c r="C570" s="14" t="s">
        <v>540</v>
      </c>
      <c r="D570" s="38" t="s">
        <v>21</v>
      </c>
      <c r="E570" s="38" t="s">
        <v>541</v>
      </c>
      <c r="F570" s="38">
        <f>E570*E567</f>
        <v>0.13299000000000002</v>
      </c>
    </row>
    <row r="571" spans="1:6" x14ac:dyDescent="0.25">
      <c r="A571" s="13" t="s">
        <v>835</v>
      </c>
      <c r="B571" s="13" t="s">
        <v>544</v>
      </c>
      <c r="C571" s="14" t="s">
        <v>545</v>
      </c>
      <c r="D571" s="38" t="s">
        <v>21</v>
      </c>
      <c r="E571" s="38" t="s">
        <v>579</v>
      </c>
      <c r="F571" s="38">
        <f>E571*E567</f>
        <v>1.6885700000000003</v>
      </c>
    </row>
    <row r="572" spans="1:6" x14ac:dyDescent="0.25">
      <c r="A572" s="13" t="s">
        <v>837</v>
      </c>
      <c r="B572" s="13" t="s">
        <v>549</v>
      </c>
      <c r="C572" s="14" t="s">
        <v>550</v>
      </c>
      <c r="D572" s="38" t="s">
        <v>21</v>
      </c>
      <c r="E572" s="38" t="s">
        <v>582</v>
      </c>
      <c r="F572" s="38">
        <f>E572*E567</f>
        <v>0.81002999999999992</v>
      </c>
    </row>
    <row r="573" spans="1:6" x14ac:dyDescent="0.25">
      <c r="A573" s="13" t="s">
        <v>839</v>
      </c>
      <c r="B573" s="13" t="s">
        <v>239</v>
      </c>
      <c r="C573" s="14" t="s">
        <v>190</v>
      </c>
      <c r="D573" s="38" t="s">
        <v>21</v>
      </c>
      <c r="E573" s="38" t="s">
        <v>554</v>
      </c>
      <c r="F573" s="38">
        <f>E573*E567</f>
        <v>0.20150000000000001</v>
      </c>
    </row>
    <row r="574" spans="1:6" ht="19.5" x14ac:dyDescent="0.25">
      <c r="A574" s="13" t="s">
        <v>841</v>
      </c>
      <c r="B574" s="13" t="s">
        <v>557</v>
      </c>
      <c r="C574" s="14" t="s">
        <v>558</v>
      </c>
      <c r="D574" s="38" t="s">
        <v>60</v>
      </c>
      <c r="E574" s="38" t="s">
        <v>587</v>
      </c>
      <c r="F574" s="38">
        <f>E574*E567</f>
        <v>0.29822000000000004</v>
      </c>
    </row>
    <row r="575" spans="1:6" x14ac:dyDescent="0.25">
      <c r="A575" s="13" t="s">
        <v>843</v>
      </c>
      <c r="B575" s="13" t="s">
        <v>562</v>
      </c>
      <c r="C575" s="14" t="s">
        <v>563</v>
      </c>
      <c r="D575" s="38" t="s">
        <v>60</v>
      </c>
      <c r="E575" s="38" t="s">
        <v>590</v>
      </c>
      <c r="F575" s="38">
        <f>E575*E567</f>
        <v>0.12493000000000001</v>
      </c>
    </row>
    <row r="576" spans="1:6" ht="18" x14ac:dyDescent="0.25">
      <c r="A576" s="11" t="s">
        <v>122</v>
      </c>
      <c r="B576" s="11" t="s">
        <v>483</v>
      </c>
      <c r="C576" s="12" t="s">
        <v>484</v>
      </c>
      <c r="D576" s="84" t="s">
        <v>60</v>
      </c>
      <c r="E576" s="126" t="s">
        <v>845</v>
      </c>
      <c r="F576" s="126"/>
    </row>
    <row r="577" spans="1:6" x14ac:dyDescent="0.25">
      <c r="A577" s="13" t="s">
        <v>125</v>
      </c>
      <c r="B577" s="13" t="s">
        <v>34</v>
      </c>
      <c r="C577" s="14" t="s">
        <v>35</v>
      </c>
      <c r="D577" s="38" t="s">
        <v>16</v>
      </c>
      <c r="E577" s="38" t="s">
        <v>487</v>
      </c>
      <c r="F577" s="38">
        <f>E577*E576</f>
        <v>4.5403399999999996</v>
      </c>
    </row>
    <row r="578" spans="1:6" x14ac:dyDescent="0.25">
      <c r="A578" s="13" t="s">
        <v>128</v>
      </c>
      <c r="B578" s="13" t="s">
        <v>14</v>
      </c>
      <c r="C578" s="14" t="s">
        <v>15</v>
      </c>
      <c r="D578" s="38" t="s">
        <v>16</v>
      </c>
      <c r="E578" s="38" t="s">
        <v>490</v>
      </c>
      <c r="F578" s="38">
        <f>E578*E576</f>
        <v>0.42924000000000001</v>
      </c>
    </row>
    <row r="579" spans="1:6" ht="29.25" x14ac:dyDescent="0.25">
      <c r="A579" s="13" t="s">
        <v>131</v>
      </c>
      <c r="B579" s="13" t="s">
        <v>313</v>
      </c>
      <c r="C579" s="14" t="s">
        <v>314</v>
      </c>
      <c r="D579" s="38" t="s">
        <v>21</v>
      </c>
      <c r="E579" s="38" t="s">
        <v>493</v>
      </c>
      <c r="F579" s="38">
        <f>E579*E576</f>
        <v>0.17150000000000001</v>
      </c>
    </row>
    <row r="580" spans="1:6" ht="19.5" x14ac:dyDescent="0.25">
      <c r="A580" s="13" t="s">
        <v>136</v>
      </c>
      <c r="B580" s="13" t="s">
        <v>496</v>
      </c>
      <c r="C580" s="14" t="s">
        <v>497</v>
      </c>
      <c r="D580" s="38" t="s">
        <v>21</v>
      </c>
      <c r="E580" s="38" t="s">
        <v>498</v>
      </c>
      <c r="F580" s="38">
        <f>E580*E576</f>
        <v>0.86436000000000002</v>
      </c>
    </row>
    <row r="581" spans="1:6" x14ac:dyDescent="0.25">
      <c r="A581" s="13" t="s">
        <v>139</v>
      </c>
      <c r="B581" s="13" t="s">
        <v>239</v>
      </c>
      <c r="C581" s="14" t="s">
        <v>190</v>
      </c>
      <c r="D581" s="38" t="s">
        <v>21</v>
      </c>
      <c r="E581" s="38" t="s">
        <v>501</v>
      </c>
      <c r="F581" s="38">
        <f>E581*E576</f>
        <v>0.25774000000000002</v>
      </c>
    </row>
    <row r="582" spans="1:6" ht="19.5" x14ac:dyDescent="0.25">
      <c r="A582" s="13" t="s">
        <v>851</v>
      </c>
      <c r="B582" s="13" t="s">
        <v>504</v>
      </c>
      <c r="C582" s="14" t="s">
        <v>505</v>
      </c>
      <c r="D582" s="38" t="s">
        <v>60</v>
      </c>
      <c r="E582" s="38" t="s">
        <v>8</v>
      </c>
      <c r="F582" s="38">
        <f>E582*E576</f>
        <v>9.8000000000000004E-2</v>
      </c>
    </row>
    <row r="583" spans="1:6" x14ac:dyDescent="0.25">
      <c r="A583" s="13" t="s">
        <v>852</v>
      </c>
      <c r="B583" s="13" t="s">
        <v>404</v>
      </c>
      <c r="C583" s="14" t="s">
        <v>405</v>
      </c>
      <c r="D583" s="38" t="s">
        <v>60</v>
      </c>
      <c r="E583" s="38" t="s">
        <v>507</v>
      </c>
      <c r="F583" s="38">
        <f>E583*E576</f>
        <v>6.8600000000000009E-4</v>
      </c>
    </row>
    <row r="584" spans="1:6" x14ac:dyDescent="0.25">
      <c r="A584" s="11" t="s">
        <v>142</v>
      </c>
      <c r="B584" s="11" t="s">
        <v>465</v>
      </c>
      <c r="C584" s="12" t="s">
        <v>466</v>
      </c>
      <c r="D584" s="84" t="s">
        <v>164</v>
      </c>
      <c r="E584" s="126" t="s">
        <v>122</v>
      </c>
      <c r="F584" s="126"/>
    </row>
    <row r="585" spans="1:6" x14ac:dyDescent="0.25">
      <c r="A585" s="13" t="s">
        <v>147</v>
      </c>
      <c r="B585" s="13" t="s">
        <v>34</v>
      </c>
      <c r="C585" s="14" t="s">
        <v>35</v>
      </c>
      <c r="D585" s="38" t="s">
        <v>16</v>
      </c>
      <c r="E585" s="38" t="s">
        <v>468</v>
      </c>
      <c r="F585" s="38">
        <f>E585*E584</f>
        <v>13.100000000000001</v>
      </c>
    </row>
    <row r="586" spans="1:6" x14ac:dyDescent="0.25">
      <c r="A586" s="13" t="s">
        <v>150</v>
      </c>
      <c r="B586" s="13" t="s">
        <v>14</v>
      </c>
      <c r="C586" s="14" t="s">
        <v>15</v>
      </c>
      <c r="D586" s="38" t="s">
        <v>16</v>
      </c>
      <c r="E586" s="38" t="s">
        <v>471</v>
      </c>
      <c r="F586" s="38">
        <f>E586*E584</f>
        <v>0.70000000000000007</v>
      </c>
    </row>
    <row r="587" spans="1:6" x14ac:dyDescent="0.25">
      <c r="A587" s="13" t="s">
        <v>153</v>
      </c>
      <c r="B587" s="13" t="s">
        <v>189</v>
      </c>
      <c r="C587" s="14" t="s">
        <v>190</v>
      </c>
      <c r="D587" s="38" t="s">
        <v>21</v>
      </c>
      <c r="E587" s="38" t="s">
        <v>471</v>
      </c>
      <c r="F587" s="38">
        <f>E587*E584</f>
        <v>0.70000000000000007</v>
      </c>
    </row>
    <row r="588" spans="1:6" x14ac:dyDescent="0.25">
      <c r="A588" s="13" t="s">
        <v>156</v>
      </c>
      <c r="B588" s="13" t="s">
        <v>475</v>
      </c>
      <c r="C588" s="14" t="s">
        <v>476</v>
      </c>
      <c r="D588" s="38" t="s">
        <v>54</v>
      </c>
      <c r="E588" s="38" t="s">
        <v>477</v>
      </c>
      <c r="F588" s="38">
        <f>E588*E584</f>
        <v>8.0000000000000002E-3</v>
      </c>
    </row>
    <row r="589" spans="1:6" x14ac:dyDescent="0.25">
      <c r="A589" s="13" t="s">
        <v>658</v>
      </c>
      <c r="B589" s="13" t="s">
        <v>480</v>
      </c>
      <c r="C589" s="14" t="s">
        <v>481</v>
      </c>
      <c r="D589" s="38" t="s">
        <v>164</v>
      </c>
      <c r="E589" s="38" t="s">
        <v>8</v>
      </c>
      <c r="F589" s="38">
        <f>E589*E584</f>
        <v>10</v>
      </c>
    </row>
    <row r="590" spans="1:6" ht="33.75" customHeight="1" x14ac:dyDescent="0.25">
      <c r="A590" s="6"/>
      <c r="B590" s="124" t="s">
        <v>1706</v>
      </c>
      <c r="C590" s="124"/>
      <c r="D590" s="124"/>
      <c r="E590" s="36"/>
      <c r="F590" s="36"/>
    </row>
    <row r="591" spans="1:6" ht="42" x14ac:dyDescent="0.25">
      <c r="A591" s="15" t="s">
        <v>8</v>
      </c>
      <c r="B591" s="82" t="s">
        <v>856</v>
      </c>
      <c r="C591" s="82" t="s">
        <v>857</v>
      </c>
      <c r="D591" s="77" t="s">
        <v>11</v>
      </c>
      <c r="E591" s="125">
        <v>0.128</v>
      </c>
      <c r="F591" s="125"/>
    </row>
    <row r="592" spans="1:6" x14ac:dyDescent="0.25">
      <c r="A592" s="17" t="s">
        <v>13</v>
      </c>
      <c r="B592" s="18" t="s">
        <v>30</v>
      </c>
      <c r="C592" s="19" t="s">
        <v>15</v>
      </c>
      <c r="D592" s="78" t="s">
        <v>858</v>
      </c>
      <c r="E592" s="40">
        <v>43.66</v>
      </c>
      <c r="F592" s="40">
        <f>E592*E591</f>
        <v>5.5884799999999997</v>
      </c>
    </row>
    <row r="593" spans="1:6" ht="45" x14ac:dyDescent="0.25">
      <c r="A593" s="20" t="s">
        <v>18</v>
      </c>
      <c r="B593" s="21" t="s">
        <v>859</v>
      </c>
      <c r="C593" s="22" t="s">
        <v>860</v>
      </c>
      <c r="D593" s="79" t="s">
        <v>861</v>
      </c>
      <c r="E593" s="41">
        <v>43.66</v>
      </c>
      <c r="F593" s="41">
        <v>5.5884999999999998</v>
      </c>
    </row>
    <row r="594" spans="1:6" ht="105" x14ac:dyDescent="0.25">
      <c r="A594" s="15" t="s">
        <v>23</v>
      </c>
      <c r="B594" s="82" t="s">
        <v>862</v>
      </c>
      <c r="C594" s="82" t="s">
        <v>863</v>
      </c>
      <c r="D594" s="77" t="s">
        <v>11</v>
      </c>
      <c r="E594" s="125">
        <v>0.128</v>
      </c>
      <c r="F594" s="125"/>
    </row>
    <row r="595" spans="1:6" x14ac:dyDescent="0.25">
      <c r="A595" s="17" t="s">
        <v>26</v>
      </c>
      <c r="B595" s="18" t="s">
        <v>30</v>
      </c>
      <c r="C595" s="19" t="s">
        <v>15</v>
      </c>
      <c r="D595" s="78" t="s">
        <v>858</v>
      </c>
      <c r="E595" s="40">
        <v>9.9109999999999996</v>
      </c>
      <c r="F595" s="40">
        <f>E595*E594</f>
        <v>1.268608</v>
      </c>
    </row>
    <row r="596" spans="1:6" ht="33.75" x14ac:dyDescent="0.25">
      <c r="A596" s="20" t="s">
        <v>29</v>
      </c>
      <c r="B596" s="21" t="s">
        <v>864</v>
      </c>
      <c r="C596" s="22" t="s">
        <v>20</v>
      </c>
      <c r="D596" s="79" t="s">
        <v>861</v>
      </c>
      <c r="E596" s="41">
        <v>9.9109999999999996</v>
      </c>
      <c r="F596" s="41">
        <f>E596*E594</f>
        <v>1.268608</v>
      </c>
    </row>
    <row r="597" spans="1:6" ht="31.5" x14ac:dyDescent="0.25">
      <c r="A597" s="15" t="s">
        <v>30</v>
      </c>
      <c r="B597" s="82" t="s">
        <v>865</v>
      </c>
      <c r="C597" s="82" t="s">
        <v>866</v>
      </c>
      <c r="D597" s="77" t="s">
        <v>11</v>
      </c>
      <c r="E597" s="125">
        <v>0.128</v>
      </c>
      <c r="F597" s="125"/>
    </row>
    <row r="598" spans="1:6" x14ac:dyDescent="0.25">
      <c r="A598" s="17" t="s">
        <v>33</v>
      </c>
      <c r="B598" s="18" t="s">
        <v>30</v>
      </c>
      <c r="C598" s="19" t="s">
        <v>15</v>
      </c>
      <c r="D598" s="78" t="s">
        <v>858</v>
      </c>
      <c r="E598" s="40">
        <v>9.24</v>
      </c>
      <c r="F598" s="40">
        <f>E598*E597</f>
        <v>1.18272</v>
      </c>
    </row>
    <row r="599" spans="1:6" ht="33.75" x14ac:dyDescent="0.25">
      <c r="A599" s="20" t="s">
        <v>38</v>
      </c>
      <c r="B599" s="21" t="s">
        <v>864</v>
      </c>
      <c r="C599" s="22" t="s">
        <v>20</v>
      </c>
      <c r="D599" s="79" t="s">
        <v>861</v>
      </c>
      <c r="E599" s="41">
        <v>9.24</v>
      </c>
      <c r="F599" s="41">
        <f>E599*E597</f>
        <v>1.18272</v>
      </c>
    </row>
    <row r="600" spans="1:6" ht="42" x14ac:dyDescent="0.25">
      <c r="A600" s="15" t="s">
        <v>57</v>
      </c>
      <c r="B600" s="82" t="s">
        <v>867</v>
      </c>
      <c r="C600" s="82" t="s">
        <v>868</v>
      </c>
      <c r="D600" s="77" t="s">
        <v>107</v>
      </c>
      <c r="E600" s="125">
        <v>0.1037</v>
      </c>
      <c r="F600" s="125"/>
    </row>
    <row r="601" spans="1:6" x14ac:dyDescent="0.25">
      <c r="A601" s="17" t="s">
        <v>62</v>
      </c>
      <c r="B601" s="18" t="s">
        <v>8</v>
      </c>
      <c r="C601" s="19" t="s">
        <v>35</v>
      </c>
      <c r="D601" s="78" t="s">
        <v>858</v>
      </c>
      <c r="E601" s="40">
        <v>536.79999999999995</v>
      </c>
      <c r="F601" s="40">
        <f>E601*E600</f>
        <v>55.666159999999998</v>
      </c>
    </row>
    <row r="602" spans="1:6" x14ac:dyDescent="0.25">
      <c r="A602" s="17" t="s">
        <v>65</v>
      </c>
      <c r="B602" s="18" t="s">
        <v>30</v>
      </c>
      <c r="C602" s="19" t="s">
        <v>15</v>
      </c>
      <c r="D602" s="78" t="s">
        <v>858</v>
      </c>
      <c r="E602" s="40">
        <v>75.03</v>
      </c>
      <c r="F602" s="40">
        <f>E602*E600</f>
        <v>7.7806110000000004</v>
      </c>
    </row>
    <row r="603" spans="1:6" x14ac:dyDescent="0.25">
      <c r="A603" s="20" t="s">
        <v>869</v>
      </c>
      <c r="B603" s="21" t="s">
        <v>870</v>
      </c>
      <c r="C603" s="22" t="s">
        <v>871</v>
      </c>
      <c r="D603" s="79" t="s">
        <v>861</v>
      </c>
      <c r="E603" s="41">
        <v>89.9</v>
      </c>
      <c r="F603" s="41">
        <f>E603*E600</f>
        <v>9.3226300000000002</v>
      </c>
    </row>
    <row r="604" spans="1:6" ht="33.75" x14ac:dyDescent="0.25">
      <c r="A604" s="20" t="s">
        <v>872</v>
      </c>
      <c r="B604" s="21" t="s">
        <v>873</v>
      </c>
      <c r="C604" s="22" t="s">
        <v>309</v>
      </c>
      <c r="D604" s="79" t="s">
        <v>861</v>
      </c>
      <c r="E604" s="41">
        <v>7.77</v>
      </c>
      <c r="F604" s="41">
        <f>E604*E600</f>
        <v>0.80574899999999994</v>
      </c>
    </row>
    <row r="605" spans="1:6" ht="33.75" x14ac:dyDescent="0.25">
      <c r="A605" s="20" t="s">
        <v>874</v>
      </c>
      <c r="B605" s="21" t="s">
        <v>875</v>
      </c>
      <c r="C605" s="22" t="s">
        <v>314</v>
      </c>
      <c r="D605" s="79" t="s">
        <v>861</v>
      </c>
      <c r="E605" s="41">
        <v>67.25</v>
      </c>
      <c r="F605" s="41">
        <f>E605*E600</f>
        <v>6.9738249999999997</v>
      </c>
    </row>
    <row r="606" spans="1:6" ht="33.75" x14ac:dyDescent="0.25">
      <c r="A606" s="20" t="s">
        <v>876</v>
      </c>
      <c r="B606" s="21" t="s">
        <v>877</v>
      </c>
      <c r="C606" s="22" t="s">
        <v>878</v>
      </c>
      <c r="D606" s="79" t="s">
        <v>861</v>
      </c>
      <c r="E606" s="41">
        <v>1.44</v>
      </c>
      <c r="F606" s="41">
        <f>E606*E600</f>
        <v>0.14932799999999999</v>
      </c>
    </row>
    <row r="607" spans="1:6" x14ac:dyDescent="0.25">
      <c r="A607" s="20" t="s">
        <v>879</v>
      </c>
      <c r="B607" s="21" t="s">
        <v>880</v>
      </c>
      <c r="C607" s="22" t="s">
        <v>881</v>
      </c>
      <c r="D607" s="79" t="s">
        <v>861</v>
      </c>
      <c r="E607" s="41">
        <v>1.73</v>
      </c>
      <c r="F607" s="41">
        <f>E607*E600</f>
        <v>0.179401</v>
      </c>
    </row>
    <row r="608" spans="1:6" ht="22.5" x14ac:dyDescent="0.25">
      <c r="A608" s="20" t="s">
        <v>882</v>
      </c>
      <c r="B608" s="21" t="s">
        <v>883</v>
      </c>
      <c r="C608" s="22" t="s">
        <v>190</v>
      </c>
      <c r="D608" s="79" t="s">
        <v>861</v>
      </c>
      <c r="E608" s="41">
        <v>0.01</v>
      </c>
      <c r="F608" s="41">
        <f>E608*E600</f>
        <v>1.0369999999999999E-3</v>
      </c>
    </row>
    <row r="609" spans="1:6" ht="22.5" x14ac:dyDescent="0.25">
      <c r="A609" s="23" t="s">
        <v>884</v>
      </c>
      <c r="B609" s="24" t="s">
        <v>885</v>
      </c>
      <c r="C609" s="25" t="s">
        <v>886</v>
      </c>
      <c r="D609" s="80" t="s">
        <v>54</v>
      </c>
      <c r="E609" s="42">
        <v>104</v>
      </c>
      <c r="F609" s="42">
        <f>E609*E600</f>
        <v>10.784800000000001</v>
      </c>
    </row>
    <row r="610" spans="1:6" x14ac:dyDescent="0.25">
      <c r="A610" s="23" t="s">
        <v>887</v>
      </c>
      <c r="B610" s="24" t="s">
        <v>888</v>
      </c>
      <c r="C610" s="25" t="s">
        <v>194</v>
      </c>
      <c r="D610" s="80" t="s">
        <v>54</v>
      </c>
      <c r="E610" s="42">
        <v>12.2</v>
      </c>
      <c r="F610" s="42">
        <f>E610*E600</f>
        <v>1.2651399999999999</v>
      </c>
    </row>
    <row r="611" spans="1:6" x14ac:dyDescent="0.25">
      <c r="A611" s="23" t="s">
        <v>889</v>
      </c>
      <c r="B611" s="24" t="s">
        <v>890</v>
      </c>
      <c r="C611" s="25" t="s">
        <v>250</v>
      </c>
      <c r="D611" s="80" t="s">
        <v>60</v>
      </c>
      <c r="E611" s="42">
        <v>3.0000000000000001E-3</v>
      </c>
      <c r="F611" s="42">
        <f>E611*E600</f>
        <v>3.1110000000000003E-4</v>
      </c>
    </row>
    <row r="612" spans="1:6" ht="22.5" x14ac:dyDescent="0.25">
      <c r="A612" s="23" t="s">
        <v>891</v>
      </c>
      <c r="B612" s="24" t="s">
        <v>892</v>
      </c>
      <c r="C612" s="25" t="s">
        <v>893</v>
      </c>
      <c r="D612" s="80" t="s">
        <v>60</v>
      </c>
      <c r="E612" s="42">
        <v>5.45E-2</v>
      </c>
      <c r="F612" s="42">
        <f>E612*E600</f>
        <v>5.6516500000000002E-3</v>
      </c>
    </row>
    <row r="613" spans="1:6" x14ac:dyDescent="0.25">
      <c r="A613" s="23" t="s">
        <v>894</v>
      </c>
      <c r="B613" s="24" t="s">
        <v>895</v>
      </c>
      <c r="C613" s="25" t="s">
        <v>896</v>
      </c>
      <c r="D613" s="80" t="s">
        <v>367</v>
      </c>
      <c r="E613" s="42">
        <v>83</v>
      </c>
      <c r="F613" s="42">
        <f>E613*E600</f>
        <v>8.6071000000000009</v>
      </c>
    </row>
    <row r="614" spans="1:6" ht="22.5" x14ac:dyDescent="0.25">
      <c r="A614" s="23" t="s">
        <v>897</v>
      </c>
      <c r="B614" s="24" t="s">
        <v>898</v>
      </c>
      <c r="C614" s="25" t="s">
        <v>899</v>
      </c>
      <c r="D614" s="80" t="s">
        <v>60</v>
      </c>
      <c r="E614" s="42">
        <v>0.2</v>
      </c>
      <c r="F614" s="42">
        <f>E614*E600</f>
        <v>2.0740000000000001E-2</v>
      </c>
    </row>
    <row r="615" spans="1:6" ht="22.5" x14ac:dyDescent="0.25">
      <c r="A615" s="23" t="s">
        <v>900</v>
      </c>
      <c r="B615" s="24" t="s">
        <v>901</v>
      </c>
      <c r="C615" s="25" t="s">
        <v>902</v>
      </c>
      <c r="D615" s="80" t="s">
        <v>361</v>
      </c>
      <c r="E615" s="42">
        <v>6.67</v>
      </c>
      <c r="F615" s="42">
        <f>E615*E600</f>
        <v>0.69167900000000004</v>
      </c>
    </row>
    <row r="616" spans="1:6" ht="33.75" x14ac:dyDescent="0.25">
      <c r="A616" s="23" t="s">
        <v>903</v>
      </c>
      <c r="B616" s="24" t="s">
        <v>904</v>
      </c>
      <c r="C616" s="25" t="s">
        <v>905</v>
      </c>
      <c r="D616" s="80" t="s">
        <v>54</v>
      </c>
      <c r="E616" s="42">
        <v>2.9</v>
      </c>
      <c r="F616" s="42">
        <f>E616*E600</f>
        <v>0.30073</v>
      </c>
    </row>
    <row r="617" spans="1:6" ht="33.75" x14ac:dyDescent="0.25">
      <c r="A617" s="23" t="s">
        <v>906</v>
      </c>
      <c r="B617" s="24" t="s">
        <v>907</v>
      </c>
      <c r="C617" s="25" t="s">
        <v>908</v>
      </c>
      <c r="D617" s="80" t="s">
        <v>54</v>
      </c>
      <c r="E617" s="42">
        <v>0.9</v>
      </c>
      <c r="F617" s="42">
        <f>E617*E600</f>
        <v>9.3329999999999996E-2</v>
      </c>
    </row>
    <row r="618" spans="1:6" ht="33.75" x14ac:dyDescent="0.25">
      <c r="A618" s="23" t="s">
        <v>909</v>
      </c>
      <c r="B618" s="24" t="s">
        <v>910</v>
      </c>
      <c r="C618" s="25" t="s">
        <v>911</v>
      </c>
      <c r="D618" s="80" t="s">
        <v>54</v>
      </c>
      <c r="E618" s="42">
        <v>0.5</v>
      </c>
      <c r="F618" s="42">
        <f>E618*E600</f>
        <v>5.185E-2</v>
      </c>
    </row>
    <row r="619" spans="1:6" ht="21" x14ac:dyDescent="0.25">
      <c r="A619" s="15" t="s">
        <v>68</v>
      </c>
      <c r="B619" s="82" t="s">
        <v>912</v>
      </c>
      <c r="C619" s="82" t="s">
        <v>913</v>
      </c>
      <c r="D619" s="77" t="s">
        <v>60</v>
      </c>
      <c r="E619" s="125">
        <v>0.18</v>
      </c>
      <c r="F619" s="125"/>
    </row>
    <row r="620" spans="1:6" ht="31.5" x14ac:dyDescent="0.25">
      <c r="A620" s="15" t="s">
        <v>80</v>
      </c>
      <c r="B620" s="82" t="s">
        <v>914</v>
      </c>
      <c r="C620" s="82" t="s">
        <v>915</v>
      </c>
      <c r="D620" s="77" t="s">
        <v>60</v>
      </c>
      <c r="E620" s="125">
        <v>0.88600000000000001</v>
      </c>
      <c r="F620" s="125"/>
    </row>
    <row r="621" spans="1:6" ht="42" x14ac:dyDescent="0.25">
      <c r="A621" s="15" t="s">
        <v>99</v>
      </c>
      <c r="B621" s="82" t="s">
        <v>916</v>
      </c>
      <c r="C621" s="82" t="s">
        <v>917</v>
      </c>
      <c r="D621" s="77" t="s">
        <v>918</v>
      </c>
      <c r="E621" s="125">
        <v>14</v>
      </c>
      <c r="F621" s="125"/>
    </row>
    <row r="622" spans="1:6" x14ac:dyDescent="0.25">
      <c r="A622" s="17" t="s">
        <v>101</v>
      </c>
      <c r="B622" s="18" t="s">
        <v>8</v>
      </c>
      <c r="C622" s="19" t="s">
        <v>35</v>
      </c>
      <c r="D622" s="78" t="s">
        <v>858</v>
      </c>
      <c r="E622" s="40">
        <v>4.6900000000000004</v>
      </c>
      <c r="F622" s="40">
        <f>E622*E621</f>
        <v>65.660000000000011</v>
      </c>
    </row>
    <row r="623" spans="1:6" x14ac:dyDescent="0.25">
      <c r="A623" s="17" t="s">
        <v>103</v>
      </c>
      <c r="B623" s="18" t="s">
        <v>30</v>
      </c>
      <c r="C623" s="19" t="s">
        <v>15</v>
      </c>
      <c r="D623" s="78" t="s">
        <v>858</v>
      </c>
      <c r="E623" s="40">
        <v>2.54</v>
      </c>
      <c r="F623" s="40">
        <f>E623*E621</f>
        <v>35.56</v>
      </c>
    </row>
    <row r="624" spans="1:6" ht="22.5" x14ac:dyDescent="0.25">
      <c r="A624" s="20" t="s">
        <v>813</v>
      </c>
      <c r="B624" s="21" t="s">
        <v>919</v>
      </c>
      <c r="C624" s="22" t="s">
        <v>920</v>
      </c>
      <c r="D624" s="79" t="s">
        <v>861</v>
      </c>
      <c r="E624" s="41">
        <v>1.97</v>
      </c>
      <c r="F624" s="41">
        <f>E624*E621</f>
        <v>27.58</v>
      </c>
    </row>
    <row r="625" spans="1:6" x14ac:dyDescent="0.25">
      <c r="A625" s="20" t="s">
        <v>921</v>
      </c>
      <c r="B625" s="21" t="s">
        <v>922</v>
      </c>
      <c r="C625" s="22" t="s">
        <v>923</v>
      </c>
      <c r="D625" s="79" t="s">
        <v>861</v>
      </c>
      <c r="E625" s="41">
        <v>1.97</v>
      </c>
      <c r="F625" s="41">
        <f>E625*E621</f>
        <v>27.58</v>
      </c>
    </row>
    <row r="626" spans="1:6" ht="33.75" x14ac:dyDescent="0.25">
      <c r="A626" s="20" t="s">
        <v>924</v>
      </c>
      <c r="B626" s="21" t="s">
        <v>925</v>
      </c>
      <c r="C626" s="22" t="s">
        <v>319</v>
      </c>
      <c r="D626" s="79" t="s">
        <v>861</v>
      </c>
      <c r="E626" s="41">
        <v>0.03</v>
      </c>
      <c r="F626" s="41">
        <f>E626*E621</f>
        <v>0.42</v>
      </c>
    </row>
    <row r="627" spans="1:6" ht="33.75" x14ac:dyDescent="0.25">
      <c r="A627" s="20" t="s">
        <v>926</v>
      </c>
      <c r="B627" s="21" t="s">
        <v>927</v>
      </c>
      <c r="C627" s="22" t="s">
        <v>928</v>
      </c>
      <c r="D627" s="79" t="s">
        <v>861</v>
      </c>
      <c r="E627" s="41">
        <v>0.49</v>
      </c>
      <c r="F627" s="41">
        <f>E627*E621</f>
        <v>6.8599999999999994</v>
      </c>
    </row>
    <row r="628" spans="1:6" x14ac:dyDescent="0.25">
      <c r="A628" s="20" t="s">
        <v>929</v>
      </c>
      <c r="B628" s="21" t="s">
        <v>930</v>
      </c>
      <c r="C628" s="22" t="s">
        <v>931</v>
      </c>
      <c r="D628" s="79" t="s">
        <v>861</v>
      </c>
      <c r="E628" s="41">
        <v>0.05</v>
      </c>
      <c r="F628" s="41">
        <f>E628*E621</f>
        <v>0.70000000000000007</v>
      </c>
    </row>
    <row r="629" spans="1:6" x14ac:dyDescent="0.25">
      <c r="A629" s="20" t="s">
        <v>932</v>
      </c>
      <c r="B629" s="21" t="s">
        <v>933</v>
      </c>
      <c r="C629" s="22" t="s">
        <v>934</v>
      </c>
      <c r="D629" s="79" t="s">
        <v>861</v>
      </c>
      <c r="E629" s="41">
        <v>0.05</v>
      </c>
      <c r="F629" s="41">
        <f>E629*E621</f>
        <v>0.70000000000000007</v>
      </c>
    </row>
    <row r="630" spans="1:6" x14ac:dyDescent="0.25">
      <c r="A630" s="23" t="s">
        <v>935</v>
      </c>
      <c r="B630" s="24" t="s">
        <v>890</v>
      </c>
      <c r="C630" s="25" t="s">
        <v>250</v>
      </c>
      <c r="D630" s="80" t="s">
        <v>60</v>
      </c>
      <c r="E630" s="42">
        <v>8.0000000000000007E-5</v>
      </c>
      <c r="F630" s="42">
        <f>E630*E621</f>
        <v>1.1200000000000001E-3</v>
      </c>
    </row>
    <row r="631" spans="1:6" ht="22.5" x14ac:dyDescent="0.25">
      <c r="A631" s="23" t="s">
        <v>936</v>
      </c>
      <c r="B631" s="24" t="s">
        <v>937</v>
      </c>
      <c r="C631" s="25" t="s">
        <v>938</v>
      </c>
      <c r="D631" s="80" t="s">
        <v>60</v>
      </c>
      <c r="E631" s="42">
        <v>2.0000000000000002E-5</v>
      </c>
      <c r="F631" s="42">
        <f>E631*E621</f>
        <v>2.8000000000000003E-4</v>
      </c>
    </row>
    <row r="632" spans="1:6" x14ac:dyDescent="0.25">
      <c r="A632" s="23" t="s">
        <v>939</v>
      </c>
      <c r="B632" s="24" t="s">
        <v>940</v>
      </c>
      <c r="C632" s="25" t="s">
        <v>941</v>
      </c>
      <c r="D632" s="80" t="s">
        <v>54</v>
      </c>
      <c r="E632" s="42">
        <v>6.0000000000000001E-3</v>
      </c>
      <c r="F632" s="42">
        <f>E632*E621</f>
        <v>8.4000000000000005E-2</v>
      </c>
    </row>
    <row r="633" spans="1:6" ht="67.5" x14ac:dyDescent="0.25">
      <c r="A633" s="23" t="s">
        <v>942</v>
      </c>
      <c r="B633" s="24" t="s">
        <v>943</v>
      </c>
      <c r="C633" s="25" t="s">
        <v>944</v>
      </c>
      <c r="D633" s="80" t="s">
        <v>60</v>
      </c>
      <c r="E633" s="42">
        <v>8.0000000000000007E-5</v>
      </c>
      <c r="F633" s="42">
        <f>E633*E621</f>
        <v>1.1200000000000001E-3</v>
      </c>
    </row>
    <row r="634" spans="1:6" ht="31.5" x14ac:dyDescent="0.25">
      <c r="A634" s="15" t="s">
        <v>104</v>
      </c>
      <c r="B634" s="82" t="s">
        <v>945</v>
      </c>
      <c r="C634" s="82" t="s">
        <v>946</v>
      </c>
      <c r="D634" s="77" t="s">
        <v>164</v>
      </c>
      <c r="E634" s="125">
        <v>14</v>
      </c>
      <c r="F634" s="125"/>
    </row>
    <row r="635" spans="1:6" ht="31.5" x14ac:dyDescent="0.25">
      <c r="A635" s="15" t="s">
        <v>112</v>
      </c>
      <c r="B635" s="82" t="s">
        <v>947</v>
      </c>
      <c r="C635" s="82" t="s">
        <v>948</v>
      </c>
      <c r="D635" s="77" t="s">
        <v>164</v>
      </c>
      <c r="E635" s="125">
        <v>14</v>
      </c>
      <c r="F635" s="125"/>
    </row>
    <row r="636" spans="1:6" x14ac:dyDescent="0.25">
      <c r="A636" s="17" t="s">
        <v>115</v>
      </c>
      <c r="B636" s="18" t="s">
        <v>8</v>
      </c>
      <c r="C636" s="19" t="s">
        <v>35</v>
      </c>
      <c r="D636" s="78" t="s">
        <v>858</v>
      </c>
      <c r="E636" s="40">
        <v>1.65</v>
      </c>
      <c r="F636" s="40">
        <f>E636*E635</f>
        <v>23.099999999999998</v>
      </c>
    </row>
    <row r="637" spans="1:6" x14ac:dyDescent="0.25">
      <c r="A637" s="17" t="s">
        <v>118</v>
      </c>
      <c r="B637" s="18" t="s">
        <v>30</v>
      </c>
      <c r="C637" s="19" t="s">
        <v>15</v>
      </c>
      <c r="D637" s="78" t="s">
        <v>858</v>
      </c>
      <c r="E637" s="40">
        <v>0.75</v>
      </c>
      <c r="F637" s="40">
        <f>E637*E635</f>
        <v>10.5</v>
      </c>
    </row>
    <row r="638" spans="1:6" ht="33.75" x14ac:dyDescent="0.25">
      <c r="A638" s="20" t="s">
        <v>119</v>
      </c>
      <c r="B638" s="21" t="s">
        <v>873</v>
      </c>
      <c r="C638" s="22" t="s">
        <v>309</v>
      </c>
      <c r="D638" s="79" t="s">
        <v>861</v>
      </c>
      <c r="E638" s="41">
        <v>0.75</v>
      </c>
      <c r="F638" s="41">
        <f>E638*E635</f>
        <v>10.5</v>
      </c>
    </row>
    <row r="639" spans="1:6" x14ac:dyDescent="0.25">
      <c r="A639" s="20" t="s">
        <v>835</v>
      </c>
      <c r="B639" s="21" t="s">
        <v>949</v>
      </c>
      <c r="C639" s="22" t="s">
        <v>324</v>
      </c>
      <c r="D639" s="79" t="s">
        <v>861</v>
      </c>
      <c r="E639" s="41">
        <v>1.5</v>
      </c>
      <c r="F639" s="41">
        <f>E639*E635</f>
        <v>21</v>
      </c>
    </row>
    <row r="640" spans="1:6" x14ac:dyDescent="0.25">
      <c r="A640" s="20" t="s">
        <v>837</v>
      </c>
      <c r="B640" s="21" t="s">
        <v>950</v>
      </c>
      <c r="C640" s="22" t="s">
        <v>951</v>
      </c>
      <c r="D640" s="79" t="s">
        <v>861</v>
      </c>
      <c r="E640" s="41">
        <v>7.0000000000000007E-2</v>
      </c>
      <c r="F640" s="41">
        <f>E640*E635</f>
        <v>0.98000000000000009</v>
      </c>
    </row>
    <row r="641" spans="1:6" x14ac:dyDescent="0.25">
      <c r="A641" s="23" t="s">
        <v>839</v>
      </c>
      <c r="B641" s="24" t="s">
        <v>952</v>
      </c>
      <c r="C641" s="25" t="s">
        <v>953</v>
      </c>
      <c r="D641" s="80" t="s">
        <v>54</v>
      </c>
      <c r="E641" s="42">
        <v>6.3E-2</v>
      </c>
      <c r="F641" s="42">
        <f>E641*E635</f>
        <v>0.88200000000000001</v>
      </c>
    </row>
    <row r="642" spans="1:6" x14ac:dyDescent="0.25">
      <c r="A642" s="23" t="s">
        <v>841</v>
      </c>
      <c r="B642" s="24" t="s">
        <v>954</v>
      </c>
      <c r="C642" s="25" t="s">
        <v>955</v>
      </c>
      <c r="D642" s="80" t="s">
        <v>54</v>
      </c>
      <c r="E642" s="42">
        <v>0.01</v>
      </c>
      <c r="F642" s="42">
        <f>E642*E635</f>
        <v>0.14000000000000001</v>
      </c>
    </row>
    <row r="643" spans="1:6" ht="63" x14ac:dyDescent="0.25">
      <c r="A643" s="15" t="s">
        <v>122</v>
      </c>
      <c r="B643" s="82" t="s">
        <v>956</v>
      </c>
      <c r="C643" s="82" t="s">
        <v>957</v>
      </c>
      <c r="D643" s="77" t="s">
        <v>200</v>
      </c>
      <c r="E643" s="125">
        <v>35</v>
      </c>
      <c r="F643" s="125"/>
    </row>
    <row r="644" spans="1:6" x14ac:dyDescent="0.25">
      <c r="A644" s="17" t="s">
        <v>125</v>
      </c>
      <c r="B644" s="18" t="s">
        <v>8</v>
      </c>
      <c r="C644" s="19" t="s">
        <v>35</v>
      </c>
      <c r="D644" s="78" t="s">
        <v>858</v>
      </c>
      <c r="E644" s="40">
        <v>0.77</v>
      </c>
      <c r="F644" s="40">
        <f>E644*E643</f>
        <v>26.95</v>
      </c>
    </row>
    <row r="645" spans="1:6" x14ac:dyDescent="0.25">
      <c r="A645" s="17" t="s">
        <v>128</v>
      </c>
      <c r="B645" s="18" t="s">
        <v>30</v>
      </c>
      <c r="C645" s="19" t="s">
        <v>15</v>
      </c>
      <c r="D645" s="78" t="s">
        <v>858</v>
      </c>
      <c r="E645" s="40">
        <v>0.91</v>
      </c>
      <c r="F645" s="40">
        <f>E645*E643</f>
        <v>31.85</v>
      </c>
    </row>
    <row r="646" spans="1:6" x14ac:dyDescent="0.25">
      <c r="A646" s="20" t="s">
        <v>131</v>
      </c>
      <c r="B646" s="21" t="s">
        <v>958</v>
      </c>
      <c r="C646" s="22" t="s">
        <v>959</v>
      </c>
      <c r="D646" s="79" t="s">
        <v>861</v>
      </c>
      <c r="E646" s="41">
        <v>0.44</v>
      </c>
      <c r="F646" s="41">
        <f>E646*E643</f>
        <v>15.4</v>
      </c>
    </row>
    <row r="647" spans="1:6" ht="33.75" x14ac:dyDescent="0.25">
      <c r="A647" s="20" t="s">
        <v>136</v>
      </c>
      <c r="B647" s="21" t="s">
        <v>960</v>
      </c>
      <c r="C647" s="22" t="s">
        <v>961</v>
      </c>
      <c r="D647" s="79" t="s">
        <v>861</v>
      </c>
      <c r="E647" s="41">
        <v>0.26</v>
      </c>
      <c r="F647" s="41">
        <f>E647*E643</f>
        <v>9.1</v>
      </c>
    </row>
    <row r="648" spans="1:6" x14ac:dyDescent="0.25">
      <c r="A648" s="20" t="s">
        <v>139</v>
      </c>
      <c r="B648" s="21" t="s">
        <v>962</v>
      </c>
      <c r="C648" s="22" t="s">
        <v>963</v>
      </c>
      <c r="D648" s="79" t="s">
        <v>861</v>
      </c>
      <c r="E648" s="41">
        <v>0.25</v>
      </c>
      <c r="F648" s="41">
        <f>E648*E643</f>
        <v>8.75</v>
      </c>
    </row>
    <row r="649" spans="1:6" ht="22.5" x14ac:dyDescent="0.25">
      <c r="A649" s="20" t="s">
        <v>851</v>
      </c>
      <c r="B649" s="21" t="s">
        <v>964</v>
      </c>
      <c r="C649" s="22" t="s">
        <v>965</v>
      </c>
      <c r="D649" s="79" t="s">
        <v>861</v>
      </c>
      <c r="E649" s="41">
        <v>0.26</v>
      </c>
      <c r="F649" s="41">
        <f>E649*E643</f>
        <v>9.1</v>
      </c>
    </row>
    <row r="650" spans="1:6" ht="22.5" x14ac:dyDescent="0.25">
      <c r="A650" s="20" t="s">
        <v>852</v>
      </c>
      <c r="B650" s="21" t="s">
        <v>966</v>
      </c>
      <c r="C650" s="22" t="s">
        <v>190</v>
      </c>
      <c r="D650" s="79" t="s">
        <v>861</v>
      </c>
      <c r="E650" s="41">
        <v>0.13</v>
      </c>
      <c r="F650" s="41">
        <f>E650*E643</f>
        <v>4.55</v>
      </c>
    </row>
    <row r="651" spans="1:6" x14ac:dyDescent="0.25">
      <c r="A651" s="23" t="s">
        <v>967</v>
      </c>
      <c r="B651" s="24" t="s">
        <v>888</v>
      </c>
      <c r="C651" s="25" t="s">
        <v>194</v>
      </c>
      <c r="D651" s="80" t="s">
        <v>54</v>
      </c>
      <c r="E651" s="42">
        <v>0.14000000000000001</v>
      </c>
      <c r="F651" s="42">
        <f>E651*E643</f>
        <v>4.9000000000000004</v>
      </c>
    </row>
    <row r="652" spans="1:6" ht="45" x14ac:dyDescent="0.25">
      <c r="A652" s="23" t="s">
        <v>968</v>
      </c>
      <c r="B652" s="24" t="s">
        <v>969</v>
      </c>
      <c r="C652" s="25" t="s">
        <v>970</v>
      </c>
      <c r="D652" s="80" t="s">
        <v>200</v>
      </c>
      <c r="E652" s="42">
        <v>0.01</v>
      </c>
      <c r="F652" s="42">
        <f>E652*E643</f>
        <v>0.35000000000000003</v>
      </c>
    </row>
    <row r="653" spans="1:6" x14ac:dyDescent="0.25">
      <c r="A653" s="15" t="s">
        <v>142</v>
      </c>
      <c r="B653" s="82" t="s">
        <v>971</v>
      </c>
      <c r="C653" s="82" t="s">
        <v>972</v>
      </c>
      <c r="D653" s="77" t="s">
        <v>164</v>
      </c>
      <c r="E653" s="125">
        <v>0.23799999999999999</v>
      </c>
      <c r="F653" s="125"/>
    </row>
    <row r="654" spans="1:6" x14ac:dyDescent="0.25">
      <c r="A654" s="15" t="s">
        <v>161</v>
      </c>
      <c r="B654" s="82" t="s">
        <v>973</v>
      </c>
      <c r="C654" s="82" t="s">
        <v>974</v>
      </c>
      <c r="D654" s="77" t="s">
        <v>60</v>
      </c>
      <c r="E654" s="125">
        <v>0.83299999999999996</v>
      </c>
      <c r="F654" s="125"/>
    </row>
    <row r="655" spans="1:6" ht="15" customHeight="1" x14ac:dyDescent="0.25">
      <c r="A655" s="26"/>
      <c r="B655" s="26"/>
      <c r="C655" s="26"/>
      <c r="D655" s="47" t="s">
        <v>975</v>
      </c>
      <c r="E655" s="135"/>
      <c r="F655" s="132"/>
    </row>
    <row r="656" spans="1:6" ht="42" x14ac:dyDescent="0.25">
      <c r="A656" s="15" t="s">
        <v>172</v>
      </c>
      <c r="B656" s="82" t="s">
        <v>867</v>
      </c>
      <c r="C656" s="82" t="s">
        <v>868</v>
      </c>
      <c r="D656" s="77" t="s">
        <v>107</v>
      </c>
      <c r="E656" s="125">
        <v>0.21249999999999999</v>
      </c>
      <c r="F656" s="125"/>
    </row>
    <row r="657" spans="1:6" x14ac:dyDescent="0.25">
      <c r="A657" s="17" t="s">
        <v>177</v>
      </c>
      <c r="B657" s="18" t="s">
        <v>8</v>
      </c>
      <c r="C657" s="19" t="s">
        <v>35</v>
      </c>
      <c r="D657" s="78" t="s">
        <v>858</v>
      </c>
      <c r="E657" s="40">
        <v>536.79999999999995</v>
      </c>
      <c r="F657" s="40">
        <f>E657*E656</f>
        <v>114.07</v>
      </c>
    </row>
    <row r="658" spans="1:6" x14ac:dyDescent="0.25">
      <c r="A658" s="17" t="s">
        <v>180</v>
      </c>
      <c r="B658" s="18" t="s">
        <v>30</v>
      </c>
      <c r="C658" s="19" t="s">
        <v>15</v>
      </c>
      <c r="D658" s="78" t="s">
        <v>858</v>
      </c>
      <c r="E658" s="40">
        <v>75.03</v>
      </c>
      <c r="F658" s="40">
        <f>E658*E656</f>
        <v>15.943875</v>
      </c>
    </row>
    <row r="659" spans="1:6" x14ac:dyDescent="0.25">
      <c r="A659" s="20" t="s">
        <v>183</v>
      </c>
      <c r="B659" s="21" t="s">
        <v>870</v>
      </c>
      <c r="C659" s="22" t="s">
        <v>871</v>
      </c>
      <c r="D659" s="79" t="s">
        <v>861</v>
      </c>
      <c r="E659" s="41">
        <v>89.9</v>
      </c>
      <c r="F659" s="41">
        <f>E659*E656</f>
        <v>19.103750000000002</v>
      </c>
    </row>
    <row r="660" spans="1:6" ht="33.75" x14ac:dyDescent="0.25">
      <c r="A660" s="20" t="s">
        <v>188</v>
      </c>
      <c r="B660" s="21" t="s">
        <v>873</v>
      </c>
      <c r="C660" s="22" t="s">
        <v>309</v>
      </c>
      <c r="D660" s="79" t="s">
        <v>861</v>
      </c>
      <c r="E660" s="41">
        <v>7.77</v>
      </c>
      <c r="F660" s="41">
        <f>E660*E656</f>
        <v>1.651125</v>
      </c>
    </row>
    <row r="661" spans="1:6" ht="33.75" x14ac:dyDescent="0.25">
      <c r="A661" s="20" t="s">
        <v>192</v>
      </c>
      <c r="B661" s="21" t="s">
        <v>875</v>
      </c>
      <c r="C661" s="22" t="s">
        <v>314</v>
      </c>
      <c r="D661" s="79" t="s">
        <v>861</v>
      </c>
      <c r="E661" s="41">
        <v>67.25</v>
      </c>
      <c r="F661" s="41">
        <f>E661*E656</f>
        <v>14.290625</v>
      </c>
    </row>
    <row r="662" spans="1:6" ht="33.75" x14ac:dyDescent="0.25">
      <c r="A662" s="20" t="s">
        <v>976</v>
      </c>
      <c r="B662" s="21" t="s">
        <v>877</v>
      </c>
      <c r="C662" s="22" t="s">
        <v>878</v>
      </c>
      <c r="D662" s="79" t="s">
        <v>861</v>
      </c>
      <c r="E662" s="41">
        <v>1.44</v>
      </c>
      <c r="F662" s="41">
        <f>E662*E656</f>
        <v>0.30599999999999999</v>
      </c>
    </row>
    <row r="663" spans="1:6" x14ac:dyDescent="0.25">
      <c r="A663" s="20" t="s">
        <v>977</v>
      </c>
      <c r="B663" s="21" t="s">
        <v>880</v>
      </c>
      <c r="C663" s="22" t="s">
        <v>881</v>
      </c>
      <c r="D663" s="79" t="s">
        <v>861</v>
      </c>
      <c r="E663" s="41">
        <v>1.73</v>
      </c>
      <c r="F663" s="41">
        <f>E663*E656</f>
        <v>0.36762499999999998</v>
      </c>
    </row>
    <row r="664" spans="1:6" ht="22.5" x14ac:dyDescent="0.25">
      <c r="A664" s="20" t="s">
        <v>978</v>
      </c>
      <c r="B664" s="21" t="s">
        <v>883</v>
      </c>
      <c r="C664" s="22" t="s">
        <v>190</v>
      </c>
      <c r="D664" s="79" t="s">
        <v>861</v>
      </c>
      <c r="E664" s="41">
        <v>0.01</v>
      </c>
      <c r="F664" s="41">
        <f>E664*E656</f>
        <v>2.1250000000000002E-3</v>
      </c>
    </row>
    <row r="665" spans="1:6" ht="22.5" x14ac:dyDescent="0.25">
      <c r="A665" s="23" t="s">
        <v>979</v>
      </c>
      <c r="B665" s="24" t="s">
        <v>885</v>
      </c>
      <c r="C665" s="25" t="s">
        <v>886</v>
      </c>
      <c r="D665" s="80" t="s">
        <v>54</v>
      </c>
      <c r="E665" s="42">
        <v>104</v>
      </c>
      <c r="F665" s="42">
        <f>E665*E656</f>
        <v>22.099999999999998</v>
      </c>
    </row>
    <row r="666" spans="1:6" x14ac:dyDescent="0.25">
      <c r="A666" s="23" t="s">
        <v>980</v>
      </c>
      <c r="B666" s="24" t="s">
        <v>888</v>
      </c>
      <c r="C666" s="25" t="s">
        <v>194</v>
      </c>
      <c r="D666" s="80" t="s">
        <v>54</v>
      </c>
      <c r="E666" s="42">
        <v>12.2</v>
      </c>
      <c r="F666" s="42">
        <f>E666*E656</f>
        <v>2.5924999999999998</v>
      </c>
    </row>
    <row r="667" spans="1:6" x14ac:dyDescent="0.25">
      <c r="A667" s="23" t="s">
        <v>981</v>
      </c>
      <c r="B667" s="24" t="s">
        <v>890</v>
      </c>
      <c r="C667" s="25" t="s">
        <v>250</v>
      </c>
      <c r="D667" s="80" t="s">
        <v>60</v>
      </c>
      <c r="E667" s="42">
        <v>3.0000000000000001E-3</v>
      </c>
      <c r="F667" s="42">
        <f>E667*E656</f>
        <v>6.3750000000000005E-4</v>
      </c>
    </row>
    <row r="668" spans="1:6" ht="22.5" x14ac:dyDescent="0.25">
      <c r="A668" s="23" t="s">
        <v>982</v>
      </c>
      <c r="B668" s="24" t="s">
        <v>892</v>
      </c>
      <c r="C668" s="25" t="s">
        <v>893</v>
      </c>
      <c r="D668" s="80" t="s">
        <v>60</v>
      </c>
      <c r="E668" s="42">
        <v>5.45E-2</v>
      </c>
      <c r="F668" s="42">
        <f>E668*E656</f>
        <v>1.158125E-2</v>
      </c>
    </row>
    <row r="669" spans="1:6" x14ac:dyDescent="0.25">
      <c r="A669" s="23" t="s">
        <v>983</v>
      </c>
      <c r="B669" s="24" t="s">
        <v>895</v>
      </c>
      <c r="C669" s="25" t="s">
        <v>896</v>
      </c>
      <c r="D669" s="80" t="s">
        <v>367</v>
      </c>
      <c r="E669" s="42">
        <v>83</v>
      </c>
      <c r="F669" s="42">
        <f>E669*E656</f>
        <v>17.637499999999999</v>
      </c>
    </row>
    <row r="670" spans="1:6" ht="22.5" x14ac:dyDescent="0.25">
      <c r="A670" s="23" t="s">
        <v>984</v>
      </c>
      <c r="B670" s="24" t="s">
        <v>898</v>
      </c>
      <c r="C670" s="25" t="s">
        <v>899</v>
      </c>
      <c r="D670" s="80" t="s">
        <v>60</v>
      </c>
      <c r="E670" s="42">
        <v>0.2</v>
      </c>
      <c r="F670" s="42">
        <f>E670*E656</f>
        <v>4.2500000000000003E-2</v>
      </c>
    </row>
    <row r="671" spans="1:6" ht="22.5" x14ac:dyDescent="0.25">
      <c r="A671" s="23" t="s">
        <v>985</v>
      </c>
      <c r="B671" s="24" t="s">
        <v>901</v>
      </c>
      <c r="C671" s="25" t="s">
        <v>902</v>
      </c>
      <c r="D671" s="80" t="s">
        <v>361</v>
      </c>
      <c r="E671" s="42">
        <v>6.67</v>
      </c>
      <c r="F671" s="42">
        <f>E671*E656</f>
        <v>1.4173750000000001</v>
      </c>
    </row>
    <row r="672" spans="1:6" ht="33.75" x14ac:dyDescent="0.25">
      <c r="A672" s="23" t="s">
        <v>986</v>
      </c>
      <c r="B672" s="24" t="s">
        <v>904</v>
      </c>
      <c r="C672" s="25" t="s">
        <v>905</v>
      </c>
      <c r="D672" s="80" t="s">
        <v>54</v>
      </c>
      <c r="E672" s="42">
        <v>2.9</v>
      </c>
      <c r="F672" s="42">
        <f>E672*E656</f>
        <v>0.61624999999999996</v>
      </c>
    </row>
    <row r="673" spans="1:6" ht="33.75" x14ac:dyDescent="0.25">
      <c r="A673" s="23" t="s">
        <v>987</v>
      </c>
      <c r="B673" s="24" t="s">
        <v>907</v>
      </c>
      <c r="C673" s="25" t="s">
        <v>908</v>
      </c>
      <c r="D673" s="80" t="s">
        <v>54</v>
      </c>
      <c r="E673" s="42">
        <v>0.9</v>
      </c>
      <c r="F673" s="42">
        <f>E673*E656</f>
        <v>0.19125</v>
      </c>
    </row>
    <row r="674" spans="1:6" ht="33.75" x14ac:dyDescent="0.25">
      <c r="A674" s="23" t="s">
        <v>988</v>
      </c>
      <c r="B674" s="24" t="s">
        <v>910</v>
      </c>
      <c r="C674" s="25" t="s">
        <v>911</v>
      </c>
      <c r="D674" s="80" t="s">
        <v>54</v>
      </c>
      <c r="E674" s="42">
        <v>0.5</v>
      </c>
      <c r="F674" s="42">
        <f>E674*E656</f>
        <v>0.10625</v>
      </c>
    </row>
    <row r="675" spans="1:6" ht="21" x14ac:dyDescent="0.25">
      <c r="A675" s="15" t="s">
        <v>197</v>
      </c>
      <c r="B675" s="82" t="s">
        <v>912</v>
      </c>
      <c r="C675" s="82" t="s">
        <v>913</v>
      </c>
      <c r="D675" s="77" t="s">
        <v>60</v>
      </c>
      <c r="E675" s="125">
        <v>0.91700000000000004</v>
      </c>
      <c r="F675" s="125"/>
    </row>
    <row r="676" spans="1:6" ht="31.5" x14ac:dyDescent="0.25">
      <c r="A676" s="15" t="s">
        <v>202</v>
      </c>
      <c r="B676" s="82" t="s">
        <v>914</v>
      </c>
      <c r="C676" s="82" t="s">
        <v>915</v>
      </c>
      <c r="D676" s="77" t="s">
        <v>60</v>
      </c>
      <c r="E676" s="125">
        <v>1.603</v>
      </c>
      <c r="F676" s="125"/>
    </row>
    <row r="677" spans="1:6" ht="42" x14ac:dyDescent="0.25">
      <c r="A677" s="15" t="s">
        <v>221</v>
      </c>
      <c r="B677" s="82" t="s">
        <v>989</v>
      </c>
      <c r="C677" s="82" t="s">
        <v>990</v>
      </c>
      <c r="D677" s="77" t="s">
        <v>918</v>
      </c>
      <c r="E677" s="125">
        <v>48.72</v>
      </c>
      <c r="F677" s="125"/>
    </row>
    <row r="678" spans="1:6" x14ac:dyDescent="0.25">
      <c r="A678" s="17" t="s">
        <v>743</v>
      </c>
      <c r="B678" s="18" t="s">
        <v>8</v>
      </c>
      <c r="C678" s="19" t="s">
        <v>35</v>
      </c>
      <c r="D678" s="78" t="s">
        <v>858</v>
      </c>
      <c r="E678" s="40">
        <v>3.35</v>
      </c>
      <c r="F678" s="40">
        <f>E678*E677</f>
        <v>163.21199999999999</v>
      </c>
    </row>
    <row r="679" spans="1:6" x14ac:dyDescent="0.25">
      <c r="A679" s="17" t="s">
        <v>745</v>
      </c>
      <c r="B679" s="18" t="s">
        <v>30</v>
      </c>
      <c r="C679" s="19" t="s">
        <v>15</v>
      </c>
      <c r="D679" s="78" t="s">
        <v>858</v>
      </c>
      <c r="E679" s="40">
        <v>1.65</v>
      </c>
      <c r="F679" s="40">
        <f>E679*E677</f>
        <v>80.387999999999991</v>
      </c>
    </row>
    <row r="680" spans="1:6" ht="22.5" x14ac:dyDescent="0.25">
      <c r="A680" s="20" t="s">
        <v>747</v>
      </c>
      <c r="B680" s="21" t="s">
        <v>991</v>
      </c>
      <c r="C680" s="22" t="s">
        <v>992</v>
      </c>
      <c r="D680" s="79" t="s">
        <v>861</v>
      </c>
      <c r="E680" s="41">
        <v>1.4</v>
      </c>
      <c r="F680" s="41">
        <f>E680*E677</f>
        <v>68.207999999999998</v>
      </c>
    </row>
    <row r="681" spans="1:6" x14ac:dyDescent="0.25">
      <c r="A681" s="20" t="s">
        <v>749</v>
      </c>
      <c r="B681" s="21" t="s">
        <v>993</v>
      </c>
      <c r="C681" s="22" t="s">
        <v>994</v>
      </c>
      <c r="D681" s="79" t="s">
        <v>861</v>
      </c>
      <c r="E681" s="41">
        <v>1.4</v>
      </c>
      <c r="F681" s="41">
        <f>E681*E677</f>
        <v>68.207999999999998</v>
      </c>
    </row>
    <row r="682" spans="1:6" ht="33.75" x14ac:dyDescent="0.25">
      <c r="A682" s="20" t="s">
        <v>751</v>
      </c>
      <c r="B682" s="21" t="s">
        <v>925</v>
      </c>
      <c r="C682" s="22" t="s">
        <v>319</v>
      </c>
      <c r="D682" s="79" t="s">
        <v>861</v>
      </c>
      <c r="E682" s="41">
        <v>0.02</v>
      </c>
      <c r="F682" s="41">
        <f>E682*E677</f>
        <v>0.97440000000000004</v>
      </c>
    </row>
    <row r="683" spans="1:6" ht="33.75" x14ac:dyDescent="0.25">
      <c r="A683" s="20" t="s">
        <v>995</v>
      </c>
      <c r="B683" s="21" t="s">
        <v>996</v>
      </c>
      <c r="C683" s="22" t="s">
        <v>997</v>
      </c>
      <c r="D683" s="79" t="s">
        <v>861</v>
      </c>
      <c r="E683" s="41">
        <v>0.2</v>
      </c>
      <c r="F683" s="41">
        <f>E683*E677</f>
        <v>9.7439999999999998</v>
      </c>
    </row>
    <row r="684" spans="1:6" x14ac:dyDescent="0.25">
      <c r="A684" s="20" t="s">
        <v>998</v>
      </c>
      <c r="B684" s="21" t="s">
        <v>930</v>
      </c>
      <c r="C684" s="22" t="s">
        <v>931</v>
      </c>
      <c r="D684" s="79" t="s">
        <v>861</v>
      </c>
      <c r="E684" s="41">
        <v>0.03</v>
      </c>
      <c r="F684" s="41">
        <f>E684*E677</f>
        <v>1.4616</v>
      </c>
    </row>
    <row r="685" spans="1:6" x14ac:dyDescent="0.25">
      <c r="A685" s="20" t="s">
        <v>999</v>
      </c>
      <c r="B685" s="21" t="s">
        <v>933</v>
      </c>
      <c r="C685" s="22" t="s">
        <v>934</v>
      </c>
      <c r="D685" s="79" t="s">
        <v>861</v>
      </c>
      <c r="E685" s="41">
        <v>0.03</v>
      </c>
      <c r="F685" s="41">
        <f>E685*E677</f>
        <v>1.4616</v>
      </c>
    </row>
    <row r="686" spans="1:6" x14ac:dyDescent="0.25">
      <c r="A686" s="23" t="s">
        <v>1000</v>
      </c>
      <c r="B686" s="24" t="s">
        <v>890</v>
      </c>
      <c r="C686" s="25" t="s">
        <v>250</v>
      </c>
      <c r="D686" s="80" t="s">
        <v>60</v>
      </c>
      <c r="E686" s="42">
        <v>8.0000000000000007E-5</v>
      </c>
      <c r="F686" s="42">
        <f>E686*E677</f>
        <v>3.8976000000000002E-3</v>
      </c>
    </row>
    <row r="687" spans="1:6" ht="22.5" x14ac:dyDescent="0.25">
      <c r="A687" s="23" t="s">
        <v>1001</v>
      </c>
      <c r="B687" s="24" t="s">
        <v>937</v>
      </c>
      <c r="C687" s="25" t="s">
        <v>938</v>
      </c>
      <c r="D687" s="80" t="s">
        <v>60</v>
      </c>
      <c r="E687" s="42">
        <v>2.0000000000000002E-5</v>
      </c>
      <c r="F687" s="42">
        <f>E687*E677</f>
        <v>9.7440000000000005E-4</v>
      </c>
    </row>
    <row r="688" spans="1:6" x14ac:dyDescent="0.25">
      <c r="A688" s="23" t="s">
        <v>1002</v>
      </c>
      <c r="B688" s="24" t="s">
        <v>940</v>
      </c>
      <c r="C688" s="25" t="s">
        <v>941</v>
      </c>
      <c r="D688" s="80" t="s">
        <v>54</v>
      </c>
      <c r="E688" s="42">
        <v>4.0000000000000001E-3</v>
      </c>
      <c r="F688" s="42">
        <f>E688*E677</f>
        <v>0.19488</v>
      </c>
    </row>
    <row r="689" spans="1:6" ht="67.5" x14ac:dyDescent="0.25">
      <c r="A689" s="23" t="s">
        <v>1003</v>
      </c>
      <c r="B689" s="24" t="s">
        <v>943</v>
      </c>
      <c r="C689" s="25" t="s">
        <v>944</v>
      </c>
      <c r="D689" s="80" t="s">
        <v>60</v>
      </c>
      <c r="E689" s="42">
        <v>1.2E-4</v>
      </c>
      <c r="F689" s="42">
        <f>E689*E677</f>
        <v>5.8463999999999999E-3</v>
      </c>
    </row>
    <row r="690" spans="1:6" ht="31.5" x14ac:dyDescent="0.25">
      <c r="A690" s="15" t="s">
        <v>225</v>
      </c>
      <c r="B690" s="82" t="s">
        <v>1004</v>
      </c>
      <c r="C690" s="82" t="s">
        <v>1005</v>
      </c>
      <c r="D690" s="77" t="s">
        <v>164</v>
      </c>
      <c r="E690" s="125">
        <v>28</v>
      </c>
      <c r="F690" s="125"/>
    </row>
    <row r="691" spans="1:6" ht="63" x14ac:dyDescent="0.25">
      <c r="A691" s="15" t="s">
        <v>228</v>
      </c>
      <c r="B691" s="82" t="s">
        <v>1006</v>
      </c>
      <c r="C691" s="82" t="s">
        <v>1007</v>
      </c>
      <c r="D691" s="77" t="s">
        <v>200</v>
      </c>
      <c r="E691" s="125">
        <v>63</v>
      </c>
      <c r="F691" s="125"/>
    </row>
    <row r="692" spans="1:6" x14ac:dyDescent="0.25">
      <c r="A692" s="17" t="s">
        <v>232</v>
      </c>
      <c r="B692" s="18" t="s">
        <v>8</v>
      </c>
      <c r="C692" s="19" t="s">
        <v>35</v>
      </c>
      <c r="D692" s="78" t="s">
        <v>858</v>
      </c>
      <c r="E692" s="40">
        <v>0.71</v>
      </c>
      <c r="F692" s="40">
        <f>E692*E691</f>
        <v>44.73</v>
      </c>
    </row>
    <row r="693" spans="1:6" x14ac:dyDescent="0.25">
      <c r="A693" s="17" t="s">
        <v>235</v>
      </c>
      <c r="B693" s="18" t="s">
        <v>30</v>
      </c>
      <c r="C693" s="19" t="s">
        <v>15</v>
      </c>
      <c r="D693" s="78" t="s">
        <v>858</v>
      </c>
      <c r="E693" s="40">
        <v>0.81</v>
      </c>
      <c r="F693" s="40">
        <f>E693*E691</f>
        <v>51.03</v>
      </c>
    </row>
    <row r="694" spans="1:6" x14ac:dyDescent="0.25">
      <c r="A694" s="20" t="s">
        <v>238</v>
      </c>
      <c r="B694" s="21" t="s">
        <v>958</v>
      </c>
      <c r="C694" s="22" t="s">
        <v>959</v>
      </c>
      <c r="D694" s="79" t="s">
        <v>861</v>
      </c>
      <c r="E694" s="41">
        <v>0.39</v>
      </c>
      <c r="F694" s="41">
        <f>E694*E691</f>
        <v>24.57</v>
      </c>
    </row>
    <row r="695" spans="1:6" ht="33.75" x14ac:dyDescent="0.25">
      <c r="A695" s="20" t="s">
        <v>240</v>
      </c>
      <c r="B695" s="21" t="s">
        <v>960</v>
      </c>
      <c r="C695" s="22" t="s">
        <v>961</v>
      </c>
      <c r="D695" s="79" t="s">
        <v>861</v>
      </c>
      <c r="E695" s="41">
        <v>0.23</v>
      </c>
      <c r="F695" s="41">
        <f>E695*E691</f>
        <v>14.49</v>
      </c>
    </row>
    <row r="696" spans="1:6" x14ac:dyDescent="0.25">
      <c r="A696" s="20" t="s">
        <v>245</v>
      </c>
      <c r="B696" s="21" t="s">
        <v>962</v>
      </c>
      <c r="C696" s="22" t="s">
        <v>963</v>
      </c>
      <c r="D696" s="79" t="s">
        <v>861</v>
      </c>
      <c r="E696" s="41">
        <v>0.22</v>
      </c>
      <c r="F696" s="41">
        <f>E696*E691</f>
        <v>13.86</v>
      </c>
    </row>
    <row r="697" spans="1:6" ht="22.5" x14ac:dyDescent="0.25">
      <c r="A697" s="20" t="s">
        <v>248</v>
      </c>
      <c r="B697" s="21" t="s">
        <v>964</v>
      </c>
      <c r="C697" s="22" t="s">
        <v>965</v>
      </c>
      <c r="D697" s="79" t="s">
        <v>861</v>
      </c>
      <c r="E697" s="41">
        <v>0.23</v>
      </c>
      <c r="F697" s="41">
        <f>E697*E691</f>
        <v>14.49</v>
      </c>
    </row>
    <row r="698" spans="1:6" ht="22.5" x14ac:dyDescent="0.25">
      <c r="A698" s="20" t="s">
        <v>253</v>
      </c>
      <c r="B698" s="21" t="s">
        <v>966</v>
      </c>
      <c r="C698" s="22" t="s">
        <v>190</v>
      </c>
      <c r="D698" s="79" t="s">
        <v>861</v>
      </c>
      <c r="E698" s="41">
        <v>0.12</v>
      </c>
      <c r="F698" s="41">
        <f>E698*E691</f>
        <v>7.56</v>
      </c>
    </row>
    <row r="699" spans="1:6" x14ac:dyDescent="0.25">
      <c r="A699" s="23" t="s">
        <v>1008</v>
      </c>
      <c r="B699" s="24" t="s">
        <v>888</v>
      </c>
      <c r="C699" s="25" t="s">
        <v>194</v>
      </c>
      <c r="D699" s="80" t="s">
        <v>54</v>
      </c>
      <c r="E699" s="42">
        <v>0.1</v>
      </c>
      <c r="F699" s="42">
        <f>E699*E691</f>
        <v>6.3000000000000007</v>
      </c>
    </row>
    <row r="700" spans="1:6" ht="45" x14ac:dyDescent="0.25">
      <c r="A700" s="23" t="s">
        <v>1009</v>
      </c>
      <c r="B700" s="24" t="s">
        <v>1010</v>
      </c>
      <c r="C700" s="25" t="s">
        <v>1011</v>
      </c>
      <c r="D700" s="80" t="s">
        <v>200</v>
      </c>
      <c r="E700" s="42">
        <v>0.01</v>
      </c>
      <c r="F700" s="42">
        <f>E700*E691</f>
        <v>0.63</v>
      </c>
    </row>
    <row r="701" spans="1:6" x14ac:dyDescent="0.25">
      <c r="A701" s="15" t="s">
        <v>258</v>
      </c>
      <c r="B701" s="82" t="s">
        <v>971</v>
      </c>
      <c r="C701" s="82" t="s">
        <v>1012</v>
      </c>
      <c r="D701" s="77" t="s">
        <v>164</v>
      </c>
      <c r="E701" s="125">
        <v>0.4284</v>
      </c>
      <c r="F701" s="125"/>
    </row>
    <row r="702" spans="1:6" x14ac:dyDescent="0.25">
      <c r="A702" s="15" t="s">
        <v>270</v>
      </c>
      <c r="B702" s="82" t="s">
        <v>973</v>
      </c>
      <c r="C702" s="82" t="s">
        <v>974</v>
      </c>
      <c r="D702" s="77" t="s">
        <v>60</v>
      </c>
      <c r="E702" s="125">
        <v>1.4994000000000001</v>
      </c>
      <c r="F702" s="125"/>
    </row>
    <row r="703" spans="1:6" ht="15" customHeight="1" x14ac:dyDescent="0.25">
      <c r="A703" s="26"/>
      <c r="B703" s="26"/>
      <c r="C703" s="26"/>
      <c r="D703" s="112"/>
      <c r="E703" s="131" t="s">
        <v>1013</v>
      </c>
      <c r="F703" s="132"/>
    </row>
    <row r="704" spans="1:6" ht="31.5" x14ac:dyDescent="0.25">
      <c r="A704" s="15" t="s">
        <v>275</v>
      </c>
      <c r="B704" s="82" t="s">
        <v>1014</v>
      </c>
      <c r="C704" s="82" t="s">
        <v>1015</v>
      </c>
      <c r="D704" s="77" t="s">
        <v>1016</v>
      </c>
      <c r="E704" s="125">
        <v>54</v>
      </c>
      <c r="F704" s="125"/>
    </row>
    <row r="705" spans="1:6" x14ac:dyDescent="0.25">
      <c r="A705" s="17" t="s">
        <v>276</v>
      </c>
      <c r="B705" s="18" t="s">
        <v>8</v>
      </c>
      <c r="C705" s="19" t="s">
        <v>35</v>
      </c>
      <c r="D705" s="78" t="s">
        <v>858</v>
      </c>
      <c r="E705" s="40">
        <v>0.65</v>
      </c>
      <c r="F705" s="40">
        <f>E705*E704</f>
        <v>35.1</v>
      </c>
    </row>
    <row r="706" spans="1:6" ht="22.5" x14ac:dyDescent="0.25">
      <c r="A706" s="23" t="s">
        <v>278</v>
      </c>
      <c r="B706" s="24" t="s">
        <v>1017</v>
      </c>
      <c r="C706" s="25" t="s">
        <v>1018</v>
      </c>
      <c r="D706" s="80" t="s">
        <v>54</v>
      </c>
      <c r="E706" s="42">
        <v>0.03</v>
      </c>
      <c r="F706" s="42">
        <f>E706*E704</f>
        <v>1.6199999999999999</v>
      </c>
    </row>
    <row r="707" spans="1:6" ht="31.5" x14ac:dyDescent="0.25">
      <c r="A707" s="15" t="s">
        <v>281</v>
      </c>
      <c r="B707" s="82" t="s">
        <v>1019</v>
      </c>
      <c r="C707" s="82" t="s">
        <v>1020</v>
      </c>
      <c r="D707" s="77" t="s">
        <v>164</v>
      </c>
      <c r="E707" s="125">
        <v>54</v>
      </c>
      <c r="F707" s="125"/>
    </row>
    <row r="708" spans="1:6" ht="21" x14ac:dyDescent="0.25">
      <c r="A708" s="15" t="s">
        <v>288</v>
      </c>
      <c r="B708" s="82" t="s">
        <v>1021</v>
      </c>
      <c r="C708" s="82" t="s">
        <v>1022</v>
      </c>
      <c r="D708" s="77" t="s">
        <v>1023</v>
      </c>
      <c r="E708" s="125">
        <v>16</v>
      </c>
      <c r="F708" s="125"/>
    </row>
    <row r="709" spans="1:6" x14ac:dyDescent="0.25">
      <c r="A709" s="17" t="s">
        <v>289</v>
      </c>
      <c r="B709" s="18" t="s">
        <v>8</v>
      </c>
      <c r="C709" s="19" t="s">
        <v>35</v>
      </c>
      <c r="D709" s="78" t="s">
        <v>858</v>
      </c>
      <c r="E709" s="40">
        <v>10.07</v>
      </c>
      <c r="F709" s="40">
        <f>E709*E708</f>
        <v>161.12</v>
      </c>
    </row>
    <row r="710" spans="1:6" x14ac:dyDescent="0.25">
      <c r="A710" s="17" t="s">
        <v>291</v>
      </c>
      <c r="B710" s="18" t="s">
        <v>30</v>
      </c>
      <c r="C710" s="19" t="s">
        <v>15</v>
      </c>
      <c r="D710" s="78" t="s">
        <v>858</v>
      </c>
      <c r="E710" s="40">
        <v>2.64</v>
      </c>
      <c r="F710" s="40">
        <f>E710*E708</f>
        <v>42.24</v>
      </c>
    </row>
    <row r="711" spans="1:6" x14ac:dyDescent="0.25">
      <c r="A711" s="20" t="s">
        <v>1024</v>
      </c>
      <c r="B711" s="21" t="s">
        <v>1025</v>
      </c>
      <c r="C711" s="22" t="s">
        <v>171</v>
      </c>
      <c r="D711" s="79" t="s">
        <v>861</v>
      </c>
      <c r="E711" s="41">
        <v>0.14000000000000001</v>
      </c>
      <c r="F711" s="41">
        <f>E711*E708</f>
        <v>2.2400000000000002</v>
      </c>
    </row>
    <row r="712" spans="1:6" ht="45" x14ac:dyDescent="0.25">
      <c r="A712" s="20" t="s">
        <v>1026</v>
      </c>
      <c r="B712" s="21" t="s">
        <v>1027</v>
      </c>
      <c r="C712" s="22" t="s">
        <v>1028</v>
      </c>
      <c r="D712" s="79" t="s">
        <v>861</v>
      </c>
      <c r="E712" s="41">
        <v>2.63</v>
      </c>
      <c r="F712" s="41">
        <f>E712*E708</f>
        <v>42.08</v>
      </c>
    </row>
    <row r="713" spans="1:6" ht="22.5" x14ac:dyDescent="0.25">
      <c r="A713" s="20" t="s">
        <v>1029</v>
      </c>
      <c r="B713" s="21" t="s">
        <v>883</v>
      </c>
      <c r="C713" s="22" t="s">
        <v>190</v>
      </c>
      <c r="D713" s="79" t="s">
        <v>861</v>
      </c>
      <c r="E713" s="41">
        <v>0.01</v>
      </c>
      <c r="F713" s="41">
        <f>E713*E708</f>
        <v>0.16</v>
      </c>
    </row>
    <row r="714" spans="1:6" x14ac:dyDescent="0.25">
      <c r="A714" s="23" t="s">
        <v>1030</v>
      </c>
      <c r="B714" s="24" t="s">
        <v>1031</v>
      </c>
      <c r="C714" s="25" t="s">
        <v>1032</v>
      </c>
      <c r="D714" s="80" t="s">
        <v>60</v>
      </c>
      <c r="E714" s="42">
        <v>1E-3</v>
      </c>
      <c r="F714" s="42">
        <f>E714*E708</f>
        <v>1.6E-2</v>
      </c>
    </row>
    <row r="715" spans="1:6" x14ac:dyDescent="0.25">
      <c r="A715" s="23" t="s">
        <v>1033</v>
      </c>
      <c r="B715" s="24" t="s">
        <v>890</v>
      </c>
      <c r="C715" s="25" t="s">
        <v>250</v>
      </c>
      <c r="D715" s="80" t="s">
        <v>60</v>
      </c>
      <c r="E715" s="42">
        <v>8.0000000000000004E-4</v>
      </c>
      <c r="F715" s="42">
        <f>E715*E708</f>
        <v>1.2800000000000001E-2</v>
      </c>
    </row>
    <row r="716" spans="1:6" ht="33.75" x14ac:dyDescent="0.25">
      <c r="A716" s="23" t="s">
        <v>1034</v>
      </c>
      <c r="B716" s="24" t="s">
        <v>1035</v>
      </c>
      <c r="C716" s="25" t="s">
        <v>1036</v>
      </c>
      <c r="D716" s="80" t="s">
        <v>54</v>
      </c>
      <c r="E716" s="42">
        <v>4.2000000000000003E-2</v>
      </c>
      <c r="F716" s="42">
        <f>E716*E708</f>
        <v>0.67200000000000004</v>
      </c>
    </row>
    <row r="717" spans="1:6" ht="33.75" x14ac:dyDescent="0.25">
      <c r="A717" s="23" t="s">
        <v>1037</v>
      </c>
      <c r="B717" s="24" t="s">
        <v>910</v>
      </c>
      <c r="C717" s="25" t="s">
        <v>911</v>
      </c>
      <c r="D717" s="80" t="s">
        <v>54</v>
      </c>
      <c r="E717" s="42">
        <v>6.6000000000000003E-2</v>
      </c>
      <c r="F717" s="42">
        <f>E717*E708</f>
        <v>1.056</v>
      </c>
    </row>
    <row r="718" spans="1:6" ht="33.75" x14ac:dyDescent="0.25">
      <c r="A718" s="23" t="s">
        <v>1038</v>
      </c>
      <c r="B718" s="24" t="s">
        <v>1039</v>
      </c>
      <c r="C718" s="25" t="s">
        <v>1040</v>
      </c>
      <c r="D718" s="80" t="s">
        <v>60</v>
      </c>
      <c r="E718" s="42">
        <v>1.4E-2</v>
      </c>
      <c r="F718" s="42">
        <f>E718*E708</f>
        <v>0.224</v>
      </c>
    </row>
    <row r="719" spans="1:6" ht="21" x14ac:dyDescent="0.25">
      <c r="A719" s="15" t="s">
        <v>292</v>
      </c>
      <c r="B719" s="82" t="s">
        <v>1041</v>
      </c>
      <c r="C719" s="82" t="s">
        <v>1042</v>
      </c>
      <c r="D719" s="77" t="s">
        <v>164</v>
      </c>
      <c r="E719" s="125">
        <v>16</v>
      </c>
      <c r="F719" s="125"/>
    </row>
    <row r="720" spans="1:6" ht="21" x14ac:dyDescent="0.25">
      <c r="A720" s="15" t="s">
        <v>370</v>
      </c>
      <c r="B720" s="82" t="s">
        <v>1043</v>
      </c>
      <c r="C720" s="82" t="s">
        <v>1044</v>
      </c>
      <c r="D720" s="77" t="s">
        <v>1023</v>
      </c>
      <c r="E720" s="125">
        <v>8</v>
      </c>
      <c r="F720" s="125"/>
    </row>
    <row r="721" spans="1:6" x14ac:dyDescent="0.25">
      <c r="A721" s="17" t="s">
        <v>374</v>
      </c>
      <c r="B721" s="18" t="s">
        <v>8</v>
      </c>
      <c r="C721" s="19" t="s">
        <v>35</v>
      </c>
      <c r="D721" s="78" t="s">
        <v>858</v>
      </c>
      <c r="E721" s="40">
        <v>10.07</v>
      </c>
      <c r="F721" s="40">
        <f>E721*E720</f>
        <v>80.56</v>
      </c>
    </row>
    <row r="722" spans="1:6" s="92" customFormat="1" x14ac:dyDescent="0.25">
      <c r="A722" s="98" t="s">
        <v>377</v>
      </c>
      <c r="B722" s="99" t="s">
        <v>30</v>
      </c>
      <c r="C722" s="100" t="s">
        <v>15</v>
      </c>
      <c r="D722" s="101" t="s">
        <v>858</v>
      </c>
      <c r="E722" s="102">
        <v>2.64</v>
      </c>
      <c r="F722" s="102">
        <f>E722*E720</f>
        <v>21.12</v>
      </c>
    </row>
    <row r="723" spans="1:6" x14ac:dyDescent="0.25">
      <c r="A723" s="20" t="s">
        <v>380</v>
      </c>
      <c r="B723" s="21" t="s">
        <v>1025</v>
      </c>
      <c r="C723" s="22" t="s">
        <v>171</v>
      </c>
      <c r="D723" s="79" t="s">
        <v>861</v>
      </c>
      <c r="E723" s="41">
        <v>0.14000000000000001</v>
      </c>
      <c r="F723" s="41">
        <f>E723*E720</f>
        <v>1.1200000000000001</v>
      </c>
    </row>
    <row r="724" spans="1:6" ht="45" x14ac:dyDescent="0.25">
      <c r="A724" s="20" t="s">
        <v>384</v>
      </c>
      <c r="B724" s="21" t="s">
        <v>1027</v>
      </c>
      <c r="C724" s="22" t="s">
        <v>1028</v>
      </c>
      <c r="D724" s="79" t="s">
        <v>861</v>
      </c>
      <c r="E724" s="41">
        <v>1.25</v>
      </c>
      <c r="F724" s="41">
        <f>E724*E720</f>
        <v>10</v>
      </c>
    </row>
    <row r="725" spans="1:6" ht="45" x14ac:dyDescent="0.25">
      <c r="A725" s="20" t="s">
        <v>387</v>
      </c>
      <c r="B725" s="21" t="s">
        <v>1045</v>
      </c>
      <c r="C725" s="22" t="s">
        <v>1046</v>
      </c>
      <c r="D725" s="79" t="s">
        <v>861</v>
      </c>
      <c r="E725" s="41">
        <v>1.38</v>
      </c>
      <c r="F725" s="41">
        <f>E725*E720</f>
        <v>11.04</v>
      </c>
    </row>
    <row r="726" spans="1:6" ht="22.5" x14ac:dyDescent="0.25">
      <c r="A726" s="20" t="s">
        <v>390</v>
      </c>
      <c r="B726" s="21" t="s">
        <v>883</v>
      </c>
      <c r="C726" s="22" t="s">
        <v>190</v>
      </c>
      <c r="D726" s="79" t="s">
        <v>861</v>
      </c>
      <c r="E726" s="41">
        <v>0.01</v>
      </c>
      <c r="F726" s="41">
        <f>E726*E720</f>
        <v>0.08</v>
      </c>
    </row>
    <row r="727" spans="1:6" x14ac:dyDescent="0.25">
      <c r="A727" s="23" t="s">
        <v>393</v>
      </c>
      <c r="B727" s="24" t="s">
        <v>1031</v>
      </c>
      <c r="C727" s="25" t="s">
        <v>1032</v>
      </c>
      <c r="D727" s="80" t="s">
        <v>60</v>
      </c>
      <c r="E727" s="42">
        <v>1E-3</v>
      </c>
      <c r="F727" s="42">
        <f>E727*E720</f>
        <v>8.0000000000000002E-3</v>
      </c>
    </row>
    <row r="728" spans="1:6" x14ac:dyDescent="0.25">
      <c r="A728" s="23" t="s">
        <v>396</v>
      </c>
      <c r="B728" s="24" t="s">
        <v>890</v>
      </c>
      <c r="C728" s="25" t="s">
        <v>250</v>
      </c>
      <c r="D728" s="80" t="s">
        <v>60</v>
      </c>
      <c r="E728" s="42">
        <v>8.0000000000000004E-4</v>
      </c>
      <c r="F728" s="42">
        <f>E728*E720</f>
        <v>6.4000000000000003E-3</v>
      </c>
    </row>
    <row r="729" spans="1:6" ht="33.75" x14ac:dyDescent="0.25">
      <c r="A729" s="23" t="s">
        <v>399</v>
      </c>
      <c r="B729" s="24" t="s">
        <v>1035</v>
      </c>
      <c r="C729" s="25" t="s">
        <v>1036</v>
      </c>
      <c r="D729" s="80" t="s">
        <v>54</v>
      </c>
      <c r="E729" s="42">
        <v>4.2000000000000003E-2</v>
      </c>
      <c r="F729" s="42">
        <f>E729*E720</f>
        <v>0.33600000000000002</v>
      </c>
    </row>
    <row r="730" spans="1:6" ht="33.75" x14ac:dyDescent="0.25">
      <c r="A730" s="23" t="s">
        <v>403</v>
      </c>
      <c r="B730" s="24" t="s">
        <v>910</v>
      </c>
      <c r="C730" s="25" t="s">
        <v>911</v>
      </c>
      <c r="D730" s="80" t="s">
        <v>54</v>
      </c>
      <c r="E730" s="42">
        <v>6.6000000000000003E-2</v>
      </c>
      <c r="F730" s="42">
        <f>E730*E720</f>
        <v>0.52800000000000002</v>
      </c>
    </row>
    <row r="731" spans="1:6" ht="33.75" x14ac:dyDescent="0.25">
      <c r="A731" s="23" t="s">
        <v>408</v>
      </c>
      <c r="B731" s="24" t="s">
        <v>1039</v>
      </c>
      <c r="C731" s="25" t="s">
        <v>1040</v>
      </c>
      <c r="D731" s="80" t="s">
        <v>60</v>
      </c>
      <c r="E731" s="42">
        <v>1.4E-2</v>
      </c>
      <c r="F731" s="42">
        <f>E731*E720</f>
        <v>0.112</v>
      </c>
    </row>
    <row r="732" spans="1:6" ht="31.5" x14ac:dyDescent="0.25">
      <c r="A732" s="15" t="s">
        <v>427</v>
      </c>
      <c r="B732" s="82" t="s">
        <v>1047</v>
      </c>
      <c r="C732" s="82" t="s">
        <v>1048</v>
      </c>
      <c r="D732" s="77" t="s">
        <v>164</v>
      </c>
      <c r="E732" s="125">
        <v>8</v>
      </c>
      <c r="F732" s="125"/>
    </row>
    <row r="733" spans="1:6" ht="31.5" x14ac:dyDescent="0.25">
      <c r="A733" s="15" t="s">
        <v>431</v>
      </c>
      <c r="B733" s="82" t="s">
        <v>1049</v>
      </c>
      <c r="C733" s="82" t="s">
        <v>1050</v>
      </c>
      <c r="D733" s="77" t="s">
        <v>54</v>
      </c>
      <c r="E733" s="125">
        <v>7.88</v>
      </c>
      <c r="F733" s="125"/>
    </row>
    <row r="734" spans="1:6" x14ac:dyDescent="0.25">
      <c r="A734" s="17" t="s">
        <v>1051</v>
      </c>
      <c r="B734" s="18" t="s">
        <v>8</v>
      </c>
      <c r="C734" s="19" t="s">
        <v>35</v>
      </c>
      <c r="D734" s="78" t="s">
        <v>858</v>
      </c>
      <c r="E734" s="40">
        <v>22.94</v>
      </c>
      <c r="F734" s="40">
        <f>E734*E733</f>
        <v>180.7672</v>
      </c>
    </row>
    <row r="735" spans="1:6" x14ac:dyDescent="0.25">
      <c r="A735" s="17" t="s">
        <v>1052</v>
      </c>
      <c r="B735" s="18" t="s">
        <v>30</v>
      </c>
      <c r="C735" s="19" t="s">
        <v>15</v>
      </c>
      <c r="D735" s="78" t="s">
        <v>858</v>
      </c>
      <c r="E735" s="40">
        <v>0.28999999999999998</v>
      </c>
      <c r="F735" s="40">
        <f>E735*E733</f>
        <v>2.2851999999999997</v>
      </c>
    </row>
    <row r="736" spans="1:6" ht="33.75" x14ac:dyDescent="0.25">
      <c r="A736" s="20" t="s">
        <v>1053</v>
      </c>
      <c r="B736" s="21" t="s">
        <v>875</v>
      </c>
      <c r="C736" s="22" t="s">
        <v>314</v>
      </c>
      <c r="D736" s="79" t="s">
        <v>861</v>
      </c>
      <c r="E736" s="41">
        <v>0.12</v>
      </c>
      <c r="F736" s="41">
        <f>E736*E733</f>
        <v>0.9456</v>
      </c>
    </row>
    <row r="737" spans="1:6" x14ac:dyDescent="0.25">
      <c r="A737" s="20" t="s">
        <v>1054</v>
      </c>
      <c r="B737" s="21" t="s">
        <v>1055</v>
      </c>
      <c r="C737" s="22" t="s">
        <v>1056</v>
      </c>
      <c r="D737" s="79" t="s">
        <v>861</v>
      </c>
      <c r="E737" s="41">
        <v>1.92</v>
      </c>
      <c r="F737" s="41">
        <f>E737*E733</f>
        <v>15.1296</v>
      </c>
    </row>
    <row r="738" spans="1:6" ht="22.5" x14ac:dyDescent="0.25">
      <c r="A738" s="20" t="s">
        <v>1057</v>
      </c>
      <c r="B738" s="21" t="s">
        <v>966</v>
      </c>
      <c r="C738" s="22" t="s">
        <v>190</v>
      </c>
      <c r="D738" s="79" t="s">
        <v>861</v>
      </c>
      <c r="E738" s="41">
        <v>0.17</v>
      </c>
      <c r="F738" s="41">
        <f>E738*E733</f>
        <v>1.3396000000000001</v>
      </c>
    </row>
    <row r="739" spans="1:6" ht="22.5" x14ac:dyDescent="0.25">
      <c r="A739" s="20" t="s">
        <v>1058</v>
      </c>
      <c r="B739" s="21" t="s">
        <v>1059</v>
      </c>
      <c r="C739" s="22" t="s">
        <v>1060</v>
      </c>
      <c r="D739" s="79" t="s">
        <v>861</v>
      </c>
      <c r="E739" s="41">
        <v>0.21</v>
      </c>
      <c r="F739" s="41">
        <f>E739*E733</f>
        <v>1.6547999999999998</v>
      </c>
    </row>
    <row r="740" spans="1:6" x14ac:dyDescent="0.25">
      <c r="A740" s="23" t="s">
        <v>1061</v>
      </c>
      <c r="B740" s="24" t="s">
        <v>1062</v>
      </c>
      <c r="C740" s="25" t="s">
        <v>194</v>
      </c>
      <c r="D740" s="80" t="s">
        <v>54</v>
      </c>
      <c r="E740" s="42">
        <v>7.0000000000000001E-3</v>
      </c>
      <c r="F740" s="42">
        <f>E740*E733</f>
        <v>5.5160000000000001E-2</v>
      </c>
    </row>
    <row r="741" spans="1:6" ht="22.5" x14ac:dyDescent="0.25">
      <c r="A741" s="23" t="s">
        <v>1063</v>
      </c>
      <c r="B741" s="24" t="s">
        <v>1064</v>
      </c>
      <c r="C741" s="25" t="s">
        <v>1065</v>
      </c>
      <c r="D741" s="80" t="s">
        <v>54</v>
      </c>
      <c r="E741" s="42">
        <v>0.08</v>
      </c>
      <c r="F741" s="42">
        <f>E741*E733</f>
        <v>0.63039999999999996</v>
      </c>
    </row>
    <row r="742" spans="1:6" x14ac:dyDescent="0.25">
      <c r="A742" s="23" t="s">
        <v>1066</v>
      </c>
      <c r="B742" s="24" t="s">
        <v>1067</v>
      </c>
      <c r="C742" s="25" t="s">
        <v>1068</v>
      </c>
      <c r="D742" s="80" t="s">
        <v>54</v>
      </c>
      <c r="E742" s="42">
        <v>1.02</v>
      </c>
      <c r="F742" s="42">
        <f>E742*E733</f>
        <v>8.0375999999999994</v>
      </c>
    </row>
    <row r="743" spans="1:6" x14ac:dyDescent="0.25">
      <c r="A743" s="23" t="s">
        <v>1069</v>
      </c>
      <c r="B743" s="24" t="s">
        <v>890</v>
      </c>
      <c r="C743" s="25" t="s">
        <v>250</v>
      </c>
      <c r="D743" s="80" t="s">
        <v>60</v>
      </c>
      <c r="E743" s="42">
        <v>2.8E-3</v>
      </c>
      <c r="F743" s="42">
        <f>E743*E733</f>
        <v>2.2064E-2</v>
      </c>
    </row>
    <row r="744" spans="1:6" ht="22.5" x14ac:dyDescent="0.25">
      <c r="A744" s="23" t="s">
        <v>1070</v>
      </c>
      <c r="B744" s="24" t="s">
        <v>1071</v>
      </c>
      <c r="C744" s="25" t="s">
        <v>1072</v>
      </c>
      <c r="D744" s="80" t="s">
        <v>60</v>
      </c>
      <c r="E744" s="42">
        <v>2.3999999999999998E-3</v>
      </c>
      <c r="F744" s="42">
        <f>E744*E733</f>
        <v>1.8911999999999998E-2</v>
      </c>
    </row>
    <row r="745" spans="1:6" ht="22.5" x14ac:dyDescent="0.25">
      <c r="A745" s="23" t="s">
        <v>1073</v>
      </c>
      <c r="B745" s="24" t="s">
        <v>1074</v>
      </c>
      <c r="C745" s="25" t="s">
        <v>1075</v>
      </c>
      <c r="D745" s="80" t="s">
        <v>60</v>
      </c>
      <c r="E745" s="42">
        <v>3.0000000000000001E-3</v>
      </c>
      <c r="F745" s="42">
        <f>E745*E733</f>
        <v>2.3640000000000001E-2</v>
      </c>
    </row>
    <row r="746" spans="1:6" ht="33.75" x14ac:dyDescent="0.25">
      <c r="A746" s="23" t="s">
        <v>1076</v>
      </c>
      <c r="B746" s="24" t="s">
        <v>904</v>
      </c>
      <c r="C746" s="25" t="s">
        <v>905</v>
      </c>
      <c r="D746" s="80" t="s">
        <v>54</v>
      </c>
      <c r="E746" s="42">
        <v>0.1</v>
      </c>
      <c r="F746" s="42">
        <f>E746*E733</f>
        <v>0.78800000000000003</v>
      </c>
    </row>
    <row r="747" spans="1:6" ht="33.75" x14ac:dyDescent="0.25">
      <c r="A747" s="23" t="s">
        <v>1077</v>
      </c>
      <c r="B747" s="24" t="s">
        <v>1078</v>
      </c>
      <c r="C747" s="25" t="s">
        <v>1079</v>
      </c>
      <c r="D747" s="80" t="s">
        <v>54</v>
      </c>
      <c r="E747" s="42">
        <v>7.0000000000000007E-2</v>
      </c>
      <c r="F747" s="42">
        <f>E747*E733</f>
        <v>0.55160000000000009</v>
      </c>
    </row>
    <row r="748" spans="1:6" x14ac:dyDescent="0.25">
      <c r="A748" s="23" t="s">
        <v>1080</v>
      </c>
      <c r="B748" s="24" t="s">
        <v>1081</v>
      </c>
      <c r="C748" s="25" t="s">
        <v>1082</v>
      </c>
      <c r="D748" s="80" t="s">
        <v>164</v>
      </c>
      <c r="E748" s="42">
        <v>2</v>
      </c>
      <c r="F748" s="42">
        <f>E748*E733</f>
        <v>15.76</v>
      </c>
    </row>
    <row r="749" spans="1:6" x14ac:dyDescent="0.25">
      <c r="A749" s="23" t="s">
        <v>1083</v>
      </c>
      <c r="B749" s="24" t="s">
        <v>1084</v>
      </c>
      <c r="C749" s="25" t="s">
        <v>366</v>
      </c>
      <c r="D749" s="80" t="s">
        <v>367</v>
      </c>
      <c r="E749" s="42">
        <v>3</v>
      </c>
      <c r="F749" s="42">
        <f>E749*E733</f>
        <v>23.64</v>
      </c>
    </row>
    <row r="750" spans="1:6" ht="21" x14ac:dyDescent="0.25">
      <c r="A750" s="15" t="s">
        <v>435</v>
      </c>
      <c r="B750" s="82" t="s">
        <v>1085</v>
      </c>
      <c r="C750" s="82" t="s">
        <v>1086</v>
      </c>
      <c r="D750" s="77" t="s">
        <v>107</v>
      </c>
      <c r="E750" s="125">
        <v>2.93E-2</v>
      </c>
      <c r="F750" s="125"/>
    </row>
    <row r="751" spans="1:6" x14ac:dyDescent="0.25">
      <c r="A751" s="17" t="s">
        <v>1087</v>
      </c>
      <c r="B751" s="18" t="s">
        <v>8</v>
      </c>
      <c r="C751" s="19" t="s">
        <v>35</v>
      </c>
      <c r="D751" s="78" t="s">
        <v>858</v>
      </c>
      <c r="E751" s="40">
        <v>853.47</v>
      </c>
      <c r="F751" s="40">
        <f>E751*E750</f>
        <v>25.006671000000001</v>
      </c>
    </row>
    <row r="752" spans="1:6" x14ac:dyDescent="0.25">
      <c r="A752" s="17" t="s">
        <v>1088</v>
      </c>
      <c r="B752" s="18" t="s">
        <v>30</v>
      </c>
      <c r="C752" s="19" t="s">
        <v>15</v>
      </c>
      <c r="D752" s="78" t="s">
        <v>858</v>
      </c>
      <c r="E752" s="40">
        <v>31.08</v>
      </c>
      <c r="F752" s="40">
        <f>E752*E750</f>
        <v>0.9106439999999999</v>
      </c>
    </row>
    <row r="753" spans="1:6" ht="33.75" x14ac:dyDescent="0.25">
      <c r="A753" s="20" t="s">
        <v>1089</v>
      </c>
      <c r="B753" s="21" t="s">
        <v>875</v>
      </c>
      <c r="C753" s="22" t="s">
        <v>314</v>
      </c>
      <c r="D753" s="79" t="s">
        <v>861</v>
      </c>
      <c r="E753" s="41">
        <v>30.64</v>
      </c>
      <c r="F753" s="41">
        <f>E753*E750</f>
        <v>0.89775199999999999</v>
      </c>
    </row>
    <row r="754" spans="1:6" ht="22.5" x14ac:dyDescent="0.25">
      <c r="A754" s="20" t="s">
        <v>1090</v>
      </c>
      <c r="B754" s="21" t="s">
        <v>1091</v>
      </c>
      <c r="C754" s="22" t="s">
        <v>497</v>
      </c>
      <c r="D754" s="79" t="s">
        <v>861</v>
      </c>
      <c r="E754" s="41">
        <v>79.239999999999995</v>
      </c>
      <c r="F754" s="41">
        <f>E754*E750</f>
        <v>2.3217319999999999</v>
      </c>
    </row>
    <row r="755" spans="1:6" ht="22.5" x14ac:dyDescent="0.25">
      <c r="A755" s="20" t="s">
        <v>1092</v>
      </c>
      <c r="B755" s="21" t="s">
        <v>883</v>
      </c>
      <c r="C755" s="22" t="s">
        <v>190</v>
      </c>
      <c r="D755" s="79" t="s">
        <v>861</v>
      </c>
      <c r="E755" s="41">
        <v>0.44</v>
      </c>
      <c r="F755" s="41">
        <f>E755*E750</f>
        <v>1.2892000000000001E-2</v>
      </c>
    </row>
    <row r="756" spans="1:6" ht="22.5" x14ac:dyDescent="0.25">
      <c r="A756" s="23" t="s">
        <v>1093</v>
      </c>
      <c r="B756" s="24" t="s">
        <v>937</v>
      </c>
      <c r="C756" s="25" t="s">
        <v>938</v>
      </c>
      <c r="D756" s="80" t="s">
        <v>60</v>
      </c>
      <c r="E756" s="42">
        <v>8.9999999999999993E-3</v>
      </c>
      <c r="F756" s="42">
        <f>E756*E750</f>
        <v>2.6369999999999996E-4</v>
      </c>
    </row>
    <row r="757" spans="1:6" x14ac:dyDescent="0.25">
      <c r="A757" s="23" t="s">
        <v>1094</v>
      </c>
      <c r="B757" s="24" t="s">
        <v>1095</v>
      </c>
      <c r="C757" s="25" t="s">
        <v>1096</v>
      </c>
      <c r="D757" s="80" t="s">
        <v>60</v>
      </c>
      <c r="E757" s="42">
        <v>2E-3</v>
      </c>
      <c r="F757" s="42">
        <f>E757*E750</f>
        <v>5.8600000000000001E-5</v>
      </c>
    </row>
    <row r="758" spans="1:6" ht="22.5" x14ac:dyDescent="0.25">
      <c r="A758" s="23" t="s">
        <v>1097</v>
      </c>
      <c r="B758" s="24" t="s">
        <v>1098</v>
      </c>
      <c r="C758" s="25" t="s">
        <v>1099</v>
      </c>
      <c r="D758" s="80" t="s">
        <v>60</v>
      </c>
      <c r="E758" s="42">
        <v>0.57199999999999995</v>
      </c>
      <c r="F758" s="42">
        <f>E758*E750</f>
        <v>1.6759599999999999E-2</v>
      </c>
    </row>
    <row r="759" spans="1:6" x14ac:dyDescent="0.25">
      <c r="A759" s="23" t="s">
        <v>1100</v>
      </c>
      <c r="B759" s="24" t="s">
        <v>1101</v>
      </c>
      <c r="C759" s="25" t="s">
        <v>1102</v>
      </c>
      <c r="D759" s="80" t="s">
        <v>524</v>
      </c>
      <c r="E759" s="42">
        <v>342.8</v>
      </c>
      <c r="F759" s="42">
        <f>E759*E750</f>
        <v>10.044040000000001</v>
      </c>
    </row>
    <row r="760" spans="1:6" ht="67.5" x14ac:dyDescent="0.25">
      <c r="A760" s="23" t="s">
        <v>1103</v>
      </c>
      <c r="B760" s="24" t="s">
        <v>1104</v>
      </c>
      <c r="C760" s="25" t="s">
        <v>1105</v>
      </c>
      <c r="D760" s="80" t="s">
        <v>60</v>
      </c>
      <c r="E760" s="42">
        <v>0.86</v>
      </c>
      <c r="F760" s="42">
        <f>E760*E750</f>
        <v>2.5197999999999998E-2</v>
      </c>
    </row>
    <row r="761" spans="1:6" ht="22.5" x14ac:dyDescent="0.25">
      <c r="A761" s="23" t="s">
        <v>1106</v>
      </c>
      <c r="B761" s="24" t="s">
        <v>1107</v>
      </c>
      <c r="C761" s="25" t="s">
        <v>1108</v>
      </c>
      <c r="D761" s="80" t="s">
        <v>60</v>
      </c>
      <c r="E761" s="42">
        <v>5.0999999999999997E-2</v>
      </c>
      <c r="F761" s="42">
        <f>E761*E750</f>
        <v>1.4942999999999998E-3</v>
      </c>
    </row>
    <row r="762" spans="1:6" x14ac:dyDescent="0.25">
      <c r="A762" s="23" t="s">
        <v>1109</v>
      </c>
      <c r="B762" s="24" t="s">
        <v>1110</v>
      </c>
      <c r="C762" s="25" t="s">
        <v>405</v>
      </c>
      <c r="D762" s="80" t="s">
        <v>60</v>
      </c>
      <c r="E762" s="42">
        <v>4.7E-2</v>
      </c>
      <c r="F762" s="42">
        <f>E762*E750</f>
        <v>1.3771E-3</v>
      </c>
    </row>
    <row r="763" spans="1:6" ht="33.75" x14ac:dyDescent="0.25">
      <c r="A763" s="23" t="s">
        <v>1111</v>
      </c>
      <c r="B763" s="24" t="s">
        <v>1112</v>
      </c>
      <c r="C763" s="25" t="s">
        <v>1113</v>
      </c>
      <c r="D763" s="80" t="s">
        <v>54</v>
      </c>
      <c r="E763" s="42">
        <v>0.13</v>
      </c>
      <c r="F763" s="42">
        <f>E763*E750</f>
        <v>3.8089999999999999E-3</v>
      </c>
    </row>
    <row r="764" spans="1:6" x14ac:dyDescent="0.25">
      <c r="A764" s="23" t="s">
        <v>1114</v>
      </c>
      <c r="B764" s="24" t="s">
        <v>1115</v>
      </c>
      <c r="C764" s="25" t="s">
        <v>1116</v>
      </c>
      <c r="D764" s="80" t="s">
        <v>60</v>
      </c>
      <c r="E764" s="42">
        <v>5.0999999999999997E-2</v>
      </c>
      <c r="F764" s="42">
        <f>E764*E750</f>
        <v>1.4942999999999998E-3</v>
      </c>
    </row>
    <row r="765" spans="1:6" ht="31.5" x14ac:dyDescent="0.25">
      <c r="A765" s="15" t="s">
        <v>439</v>
      </c>
      <c r="B765" s="82" t="s">
        <v>1117</v>
      </c>
      <c r="C765" s="82" t="s">
        <v>1118</v>
      </c>
      <c r="D765" s="77" t="s">
        <v>164</v>
      </c>
      <c r="E765" s="125">
        <v>16</v>
      </c>
      <c r="F765" s="125"/>
    </row>
    <row r="766" spans="1:6" ht="21" x14ac:dyDescent="0.25">
      <c r="A766" s="15" t="s">
        <v>460</v>
      </c>
      <c r="B766" s="82" t="s">
        <v>1119</v>
      </c>
      <c r="C766" s="82" t="s">
        <v>1120</v>
      </c>
      <c r="D766" s="77" t="s">
        <v>107</v>
      </c>
      <c r="E766" s="125">
        <v>0.1104</v>
      </c>
      <c r="F766" s="125"/>
    </row>
    <row r="767" spans="1:6" x14ac:dyDescent="0.25">
      <c r="A767" s="17" t="s">
        <v>1121</v>
      </c>
      <c r="B767" s="18" t="s">
        <v>8</v>
      </c>
      <c r="C767" s="19" t="s">
        <v>35</v>
      </c>
      <c r="D767" s="78" t="s">
        <v>858</v>
      </c>
      <c r="E767" s="40">
        <v>238.56</v>
      </c>
      <c r="F767" s="40">
        <f>E767*E766</f>
        <v>26.337024</v>
      </c>
    </row>
    <row r="768" spans="1:6" x14ac:dyDescent="0.25">
      <c r="A768" s="17" t="s">
        <v>1122</v>
      </c>
      <c r="B768" s="18" t="s">
        <v>30</v>
      </c>
      <c r="C768" s="19" t="s">
        <v>15</v>
      </c>
      <c r="D768" s="78" t="s">
        <v>858</v>
      </c>
      <c r="E768" s="40">
        <v>69.930000000000007</v>
      </c>
      <c r="F768" s="40">
        <f>E768*E766</f>
        <v>7.7202720000000005</v>
      </c>
    </row>
    <row r="769" spans="1:6" ht="33.75" x14ac:dyDescent="0.25">
      <c r="A769" s="20" t="s">
        <v>1123</v>
      </c>
      <c r="B769" s="21" t="s">
        <v>1124</v>
      </c>
      <c r="C769" s="22" t="s">
        <v>1125</v>
      </c>
      <c r="D769" s="79" t="s">
        <v>861</v>
      </c>
      <c r="E769" s="41">
        <v>27.2</v>
      </c>
      <c r="F769" s="41">
        <f>E769*E766</f>
        <v>3.0028799999999998</v>
      </c>
    </row>
    <row r="770" spans="1:6" ht="33.75" x14ac:dyDescent="0.25">
      <c r="A770" s="20" t="s">
        <v>1126</v>
      </c>
      <c r="B770" s="21" t="s">
        <v>925</v>
      </c>
      <c r="C770" s="22" t="s">
        <v>319</v>
      </c>
      <c r="D770" s="79" t="s">
        <v>861</v>
      </c>
      <c r="E770" s="41">
        <v>64.06</v>
      </c>
      <c r="F770" s="41">
        <f>E770*E766</f>
        <v>7.0722240000000003</v>
      </c>
    </row>
    <row r="771" spans="1:6" ht="22.5" x14ac:dyDescent="0.25">
      <c r="A771" s="20" t="s">
        <v>1127</v>
      </c>
      <c r="B771" s="21" t="s">
        <v>883</v>
      </c>
      <c r="C771" s="22" t="s">
        <v>190</v>
      </c>
      <c r="D771" s="79" t="s">
        <v>861</v>
      </c>
      <c r="E771" s="41">
        <v>5.87</v>
      </c>
      <c r="F771" s="41">
        <f>E771*E766</f>
        <v>0.64804799999999996</v>
      </c>
    </row>
    <row r="772" spans="1:6" x14ac:dyDescent="0.25">
      <c r="A772" s="20" t="s">
        <v>1128</v>
      </c>
      <c r="B772" s="21" t="s">
        <v>950</v>
      </c>
      <c r="C772" s="22" t="s">
        <v>951</v>
      </c>
      <c r="D772" s="79" t="s">
        <v>861</v>
      </c>
      <c r="E772" s="41">
        <v>12.36</v>
      </c>
      <c r="F772" s="41">
        <f>E772*E766</f>
        <v>1.364544</v>
      </c>
    </row>
    <row r="773" spans="1:6" x14ac:dyDescent="0.25">
      <c r="A773" s="23" t="s">
        <v>1129</v>
      </c>
      <c r="B773" s="24" t="s">
        <v>1062</v>
      </c>
      <c r="C773" s="25" t="s">
        <v>194</v>
      </c>
      <c r="D773" s="80" t="s">
        <v>54</v>
      </c>
      <c r="E773" s="42">
        <v>0.41</v>
      </c>
      <c r="F773" s="42">
        <f>E773*E766</f>
        <v>4.5263999999999999E-2</v>
      </c>
    </row>
    <row r="774" spans="1:6" ht="22.5" x14ac:dyDescent="0.25">
      <c r="A774" s="23" t="s">
        <v>1130</v>
      </c>
      <c r="B774" s="24" t="s">
        <v>1131</v>
      </c>
      <c r="C774" s="25" t="s">
        <v>1132</v>
      </c>
      <c r="D774" s="80" t="s">
        <v>54</v>
      </c>
      <c r="E774" s="42">
        <v>0.67</v>
      </c>
      <c r="F774" s="42">
        <f>E774*E766</f>
        <v>7.3968000000000006E-2</v>
      </c>
    </row>
    <row r="775" spans="1:6" x14ac:dyDescent="0.25">
      <c r="A775" s="23" t="s">
        <v>1133</v>
      </c>
      <c r="B775" s="24" t="s">
        <v>952</v>
      </c>
      <c r="C775" s="25" t="s">
        <v>953</v>
      </c>
      <c r="D775" s="80" t="s">
        <v>54</v>
      </c>
      <c r="E775" s="42">
        <v>53.8</v>
      </c>
      <c r="F775" s="42">
        <f>E775*E766</f>
        <v>5.9395199999999999</v>
      </c>
    </row>
    <row r="776" spans="1:6" x14ac:dyDescent="0.25">
      <c r="A776" s="23" t="s">
        <v>1134</v>
      </c>
      <c r="B776" s="24" t="s">
        <v>1110</v>
      </c>
      <c r="C776" s="25" t="s">
        <v>405</v>
      </c>
      <c r="D776" s="80" t="s">
        <v>60</v>
      </c>
      <c r="E776" s="42">
        <v>7.0000000000000007E-2</v>
      </c>
      <c r="F776" s="42">
        <f>E776*E766</f>
        <v>7.7280000000000005E-3</v>
      </c>
    </row>
    <row r="777" spans="1:6" x14ac:dyDescent="0.25">
      <c r="A777" s="23" t="s">
        <v>1135</v>
      </c>
      <c r="B777" s="24" t="s">
        <v>1136</v>
      </c>
      <c r="C777" s="25" t="s">
        <v>1137</v>
      </c>
      <c r="D777" s="80" t="s">
        <v>524</v>
      </c>
      <c r="E777" s="42">
        <v>1.1299999999999999</v>
      </c>
      <c r="F777" s="42">
        <f>E777*E766</f>
        <v>0.12475199999999999</v>
      </c>
    </row>
    <row r="778" spans="1:6" ht="31.5" x14ac:dyDescent="0.25">
      <c r="A778" s="15" t="s">
        <v>464</v>
      </c>
      <c r="B778" s="82" t="s">
        <v>1138</v>
      </c>
      <c r="C778" s="82" t="s">
        <v>1139</v>
      </c>
      <c r="D778" s="77" t="s">
        <v>164</v>
      </c>
      <c r="E778" s="125">
        <v>16</v>
      </c>
      <c r="F778" s="125"/>
    </row>
    <row r="779" spans="1:6" ht="31.5" x14ac:dyDescent="0.25">
      <c r="A779" s="15" t="s">
        <v>482</v>
      </c>
      <c r="B779" s="82" t="s">
        <v>1049</v>
      </c>
      <c r="C779" s="82" t="s">
        <v>1140</v>
      </c>
      <c r="D779" s="77" t="s">
        <v>54</v>
      </c>
      <c r="E779" s="125">
        <v>1.06</v>
      </c>
      <c r="F779" s="125"/>
    </row>
    <row r="780" spans="1:6" x14ac:dyDescent="0.25">
      <c r="A780" s="17" t="s">
        <v>486</v>
      </c>
      <c r="B780" s="18" t="s">
        <v>8</v>
      </c>
      <c r="C780" s="19" t="s">
        <v>35</v>
      </c>
      <c r="D780" s="78" t="s">
        <v>858</v>
      </c>
      <c r="E780" s="40">
        <v>22.94</v>
      </c>
      <c r="F780" s="40">
        <f>E780*E779</f>
        <v>24.316400000000002</v>
      </c>
    </row>
    <row r="781" spans="1:6" x14ac:dyDescent="0.25">
      <c r="A781" s="17" t="s">
        <v>489</v>
      </c>
      <c r="B781" s="18" t="s">
        <v>30</v>
      </c>
      <c r="C781" s="19" t="s">
        <v>15</v>
      </c>
      <c r="D781" s="78" t="s">
        <v>858</v>
      </c>
      <c r="E781" s="40">
        <v>0.28999999999999998</v>
      </c>
      <c r="F781" s="40">
        <f>E781*E779</f>
        <v>0.30740000000000001</v>
      </c>
    </row>
    <row r="782" spans="1:6" ht="33.75" x14ac:dyDescent="0.25">
      <c r="A782" s="20" t="s">
        <v>492</v>
      </c>
      <c r="B782" s="21" t="s">
        <v>875</v>
      </c>
      <c r="C782" s="22" t="s">
        <v>314</v>
      </c>
      <c r="D782" s="79" t="s">
        <v>861</v>
      </c>
      <c r="E782" s="41">
        <v>0.12</v>
      </c>
      <c r="F782" s="41">
        <f>E782*E779</f>
        <v>0.12720000000000001</v>
      </c>
    </row>
    <row r="783" spans="1:6" x14ac:dyDescent="0.25">
      <c r="A783" s="20" t="s">
        <v>495</v>
      </c>
      <c r="B783" s="21" t="s">
        <v>1055</v>
      </c>
      <c r="C783" s="22" t="s">
        <v>1056</v>
      </c>
      <c r="D783" s="79" t="s">
        <v>861</v>
      </c>
      <c r="E783" s="41">
        <v>1.92</v>
      </c>
      <c r="F783" s="41">
        <f>E783*E779</f>
        <v>2.0352000000000001</v>
      </c>
    </row>
    <row r="784" spans="1:6" ht="22.5" x14ac:dyDescent="0.25">
      <c r="A784" s="20" t="s">
        <v>500</v>
      </c>
      <c r="B784" s="21" t="s">
        <v>966</v>
      </c>
      <c r="C784" s="22" t="s">
        <v>190</v>
      </c>
      <c r="D784" s="79" t="s">
        <v>861</v>
      </c>
      <c r="E784" s="41">
        <v>0.17</v>
      </c>
      <c r="F784" s="41">
        <f>E784*E779</f>
        <v>0.18020000000000003</v>
      </c>
    </row>
    <row r="785" spans="1:6" ht="22.5" x14ac:dyDescent="0.25">
      <c r="A785" s="20" t="s">
        <v>503</v>
      </c>
      <c r="B785" s="21" t="s">
        <v>1059</v>
      </c>
      <c r="C785" s="22" t="s">
        <v>1060</v>
      </c>
      <c r="D785" s="79" t="s">
        <v>861</v>
      </c>
      <c r="E785" s="41">
        <v>0.21</v>
      </c>
      <c r="F785" s="41">
        <f>E785*E779</f>
        <v>0.22259999999999999</v>
      </c>
    </row>
    <row r="786" spans="1:6" ht="22.5" x14ac:dyDescent="0.25">
      <c r="A786" s="23" t="s">
        <v>506</v>
      </c>
      <c r="B786" s="24" t="s">
        <v>885</v>
      </c>
      <c r="C786" s="25" t="s">
        <v>886</v>
      </c>
      <c r="D786" s="80" t="s">
        <v>54</v>
      </c>
      <c r="E786" s="42">
        <v>1.02</v>
      </c>
      <c r="F786" s="42">
        <f>E786*E779</f>
        <v>1.0812000000000002</v>
      </c>
    </row>
    <row r="787" spans="1:6" x14ac:dyDescent="0.25">
      <c r="A787" s="23" t="s">
        <v>1141</v>
      </c>
      <c r="B787" s="24" t="s">
        <v>1062</v>
      </c>
      <c r="C787" s="25" t="s">
        <v>194</v>
      </c>
      <c r="D787" s="80" t="s">
        <v>54</v>
      </c>
      <c r="E787" s="42">
        <v>7.0000000000000001E-3</v>
      </c>
      <c r="F787" s="42">
        <f>E787*E779</f>
        <v>7.4200000000000004E-3</v>
      </c>
    </row>
    <row r="788" spans="1:6" ht="22.5" x14ac:dyDescent="0.25">
      <c r="A788" s="23" t="s">
        <v>1142</v>
      </c>
      <c r="B788" s="24" t="s">
        <v>1064</v>
      </c>
      <c r="C788" s="25" t="s">
        <v>1065</v>
      </c>
      <c r="D788" s="80" t="s">
        <v>54</v>
      </c>
      <c r="E788" s="42">
        <v>0.08</v>
      </c>
      <c r="F788" s="42">
        <f>E788*E779</f>
        <v>8.48E-2</v>
      </c>
    </row>
    <row r="789" spans="1:6" x14ac:dyDescent="0.25">
      <c r="A789" s="23" t="s">
        <v>1143</v>
      </c>
      <c r="B789" s="24" t="s">
        <v>890</v>
      </c>
      <c r="C789" s="25" t="s">
        <v>250</v>
      </c>
      <c r="D789" s="80" t="s">
        <v>60</v>
      </c>
      <c r="E789" s="42">
        <v>2.8E-3</v>
      </c>
      <c r="F789" s="42">
        <f>E789*E779</f>
        <v>2.9680000000000002E-3</v>
      </c>
    </row>
    <row r="790" spans="1:6" ht="22.5" x14ac:dyDescent="0.25">
      <c r="A790" s="23" t="s">
        <v>1144</v>
      </c>
      <c r="B790" s="24" t="s">
        <v>1071</v>
      </c>
      <c r="C790" s="25" t="s">
        <v>1072</v>
      </c>
      <c r="D790" s="80" t="s">
        <v>60</v>
      </c>
      <c r="E790" s="42">
        <v>2.3999999999999998E-3</v>
      </c>
      <c r="F790" s="42">
        <f>E790*E779</f>
        <v>2.5439999999999998E-3</v>
      </c>
    </row>
    <row r="791" spans="1:6" ht="22.5" x14ac:dyDescent="0.25">
      <c r="A791" s="23" t="s">
        <v>1145</v>
      </c>
      <c r="B791" s="24" t="s">
        <v>1074</v>
      </c>
      <c r="C791" s="25" t="s">
        <v>1075</v>
      </c>
      <c r="D791" s="80" t="s">
        <v>60</v>
      </c>
      <c r="E791" s="42">
        <v>3.0000000000000001E-3</v>
      </c>
      <c r="F791" s="42">
        <f>E791*E779</f>
        <v>3.1800000000000001E-3</v>
      </c>
    </row>
    <row r="792" spans="1:6" ht="33.75" x14ac:dyDescent="0.25">
      <c r="A792" s="23" t="s">
        <v>1146</v>
      </c>
      <c r="B792" s="24" t="s">
        <v>904</v>
      </c>
      <c r="C792" s="25" t="s">
        <v>905</v>
      </c>
      <c r="D792" s="80" t="s">
        <v>54</v>
      </c>
      <c r="E792" s="42">
        <v>0.1</v>
      </c>
      <c r="F792" s="42">
        <f>E792*E779</f>
        <v>0.10600000000000001</v>
      </c>
    </row>
    <row r="793" spans="1:6" ht="33.75" x14ac:dyDescent="0.25">
      <c r="A793" s="23" t="s">
        <v>1147</v>
      </c>
      <c r="B793" s="24" t="s">
        <v>1078</v>
      </c>
      <c r="C793" s="25" t="s">
        <v>1079</v>
      </c>
      <c r="D793" s="80" t="s">
        <v>54</v>
      </c>
      <c r="E793" s="42">
        <v>7.0000000000000007E-2</v>
      </c>
      <c r="F793" s="42">
        <f>E793*E779</f>
        <v>7.4200000000000016E-2</v>
      </c>
    </row>
    <row r="794" spans="1:6" x14ac:dyDescent="0.25">
      <c r="A794" s="23" t="s">
        <v>1148</v>
      </c>
      <c r="B794" s="24" t="s">
        <v>1081</v>
      </c>
      <c r="C794" s="25" t="s">
        <v>1082</v>
      </c>
      <c r="D794" s="80" t="s">
        <v>164</v>
      </c>
      <c r="E794" s="42">
        <v>2</v>
      </c>
      <c r="F794" s="42">
        <f>E794*E779</f>
        <v>2.12</v>
      </c>
    </row>
    <row r="795" spans="1:6" x14ac:dyDescent="0.25">
      <c r="A795" s="23" t="s">
        <v>1149</v>
      </c>
      <c r="B795" s="24" t="s">
        <v>1084</v>
      </c>
      <c r="C795" s="25" t="s">
        <v>366</v>
      </c>
      <c r="D795" s="80" t="s">
        <v>367</v>
      </c>
      <c r="E795" s="42">
        <v>3</v>
      </c>
      <c r="F795" s="42">
        <f>E795*E779</f>
        <v>3.18</v>
      </c>
    </row>
    <row r="796" spans="1:6" ht="31.5" x14ac:dyDescent="0.25">
      <c r="A796" s="15" t="s">
        <v>509</v>
      </c>
      <c r="B796" s="82" t="s">
        <v>914</v>
      </c>
      <c r="C796" s="82" t="s">
        <v>915</v>
      </c>
      <c r="D796" s="77" t="s">
        <v>60</v>
      </c>
      <c r="E796" s="125">
        <v>8.5999999999999993E-2</v>
      </c>
      <c r="F796" s="125"/>
    </row>
    <row r="797" spans="1:6" ht="31.5" x14ac:dyDescent="0.25">
      <c r="A797" s="15" t="s">
        <v>527</v>
      </c>
      <c r="B797" s="82" t="s">
        <v>1049</v>
      </c>
      <c r="C797" s="82" t="s">
        <v>1150</v>
      </c>
      <c r="D797" s="77" t="s">
        <v>54</v>
      </c>
      <c r="E797" s="125">
        <v>1.35</v>
      </c>
      <c r="F797" s="125"/>
    </row>
    <row r="798" spans="1:6" x14ac:dyDescent="0.25">
      <c r="A798" s="17" t="s">
        <v>532</v>
      </c>
      <c r="B798" s="18" t="s">
        <v>8</v>
      </c>
      <c r="C798" s="19" t="s">
        <v>35</v>
      </c>
      <c r="D798" s="78" t="s">
        <v>858</v>
      </c>
      <c r="E798" s="40">
        <v>22.94</v>
      </c>
      <c r="F798" s="40">
        <f>E798*E797</f>
        <v>30.969000000000005</v>
      </c>
    </row>
    <row r="799" spans="1:6" x14ac:dyDescent="0.25">
      <c r="A799" s="17" t="s">
        <v>535</v>
      </c>
      <c r="B799" s="18" t="s">
        <v>30</v>
      </c>
      <c r="C799" s="19" t="s">
        <v>15</v>
      </c>
      <c r="D799" s="78" t="s">
        <v>858</v>
      </c>
      <c r="E799" s="40">
        <v>0.28999999999999998</v>
      </c>
      <c r="F799" s="40">
        <f>E799*E797</f>
        <v>0.39150000000000001</v>
      </c>
    </row>
    <row r="800" spans="1:6" ht="33.75" x14ac:dyDescent="0.25">
      <c r="A800" s="20" t="s">
        <v>538</v>
      </c>
      <c r="B800" s="21" t="s">
        <v>875</v>
      </c>
      <c r="C800" s="22" t="s">
        <v>314</v>
      </c>
      <c r="D800" s="79" t="s">
        <v>861</v>
      </c>
      <c r="E800" s="41">
        <v>0.12</v>
      </c>
      <c r="F800" s="41">
        <f>E800*E797</f>
        <v>0.16200000000000001</v>
      </c>
    </row>
    <row r="801" spans="1:6" x14ac:dyDescent="0.25">
      <c r="A801" s="20" t="s">
        <v>543</v>
      </c>
      <c r="B801" s="21" t="s">
        <v>1055</v>
      </c>
      <c r="C801" s="22" t="s">
        <v>1056</v>
      </c>
      <c r="D801" s="79" t="s">
        <v>861</v>
      </c>
      <c r="E801" s="41">
        <v>1.92</v>
      </c>
      <c r="F801" s="41">
        <f>E801*E797</f>
        <v>2.5920000000000001</v>
      </c>
    </row>
    <row r="802" spans="1:6" ht="22.5" x14ac:dyDescent="0.25">
      <c r="A802" s="20" t="s">
        <v>548</v>
      </c>
      <c r="B802" s="21" t="s">
        <v>966</v>
      </c>
      <c r="C802" s="22" t="s">
        <v>190</v>
      </c>
      <c r="D802" s="79" t="s">
        <v>861</v>
      </c>
      <c r="E802" s="41">
        <v>0.17</v>
      </c>
      <c r="F802" s="41">
        <f>E802*E797</f>
        <v>0.22950000000000004</v>
      </c>
    </row>
    <row r="803" spans="1:6" ht="22.5" x14ac:dyDescent="0.25">
      <c r="A803" s="20" t="s">
        <v>553</v>
      </c>
      <c r="B803" s="21" t="s">
        <v>1059</v>
      </c>
      <c r="C803" s="22" t="s">
        <v>1060</v>
      </c>
      <c r="D803" s="79" t="s">
        <v>861</v>
      </c>
      <c r="E803" s="41">
        <v>0.21</v>
      </c>
      <c r="F803" s="41">
        <f>E803*E797</f>
        <v>0.28350000000000003</v>
      </c>
    </row>
    <row r="804" spans="1:6" ht="22.5" x14ac:dyDescent="0.25">
      <c r="A804" s="23" t="s">
        <v>556</v>
      </c>
      <c r="B804" s="24" t="s">
        <v>885</v>
      </c>
      <c r="C804" s="25" t="s">
        <v>886</v>
      </c>
      <c r="D804" s="80" t="s">
        <v>54</v>
      </c>
      <c r="E804" s="42">
        <v>1.02</v>
      </c>
      <c r="F804" s="42">
        <f>E804*E797</f>
        <v>1.3770000000000002</v>
      </c>
    </row>
    <row r="805" spans="1:6" x14ac:dyDescent="0.25">
      <c r="A805" s="23" t="s">
        <v>561</v>
      </c>
      <c r="B805" s="24" t="s">
        <v>1062</v>
      </c>
      <c r="C805" s="25" t="s">
        <v>194</v>
      </c>
      <c r="D805" s="80" t="s">
        <v>54</v>
      </c>
      <c r="E805" s="42">
        <v>7.0000000000000001E-3</v>
      </c>
      <c r="F805" s="42">
        <f>E805*E797</f>
        <v>9.4500000000000001E-3</v>
      </c>
    </row>
    <row r="806" spans="1:6" ht="22.5" x14ac:dyDescent="0.25">
      <c r="A806" s="23" t="s">
        <v>1151</v>
      </c>
      <c r="B806" s="24" t="s">
        <v>1064</v>
      </c>
      <c r="C806" s="25" t="s">
        <v>1065</v>
      </c>
      <c r="D806" s="80" t="s">
        <v>54</v>
      </c>
      <c r="E806" s="42">
        <v>0.08</v>
      </c>
      <c r="F806" s="42">
        <f>E806*E797</f>
        <v>0.10800000000000001</v>
      </c>
    </row>
    <row r="807" spans="1:6" x14ac:dyDescent="0.25">
      <c r="A807" s="23" t="s">
        <v>1152</v>
      </c>
      <c r="B807" s="24" t="s">
        <v>890</v>
      </c>
      <c r="C807" s="25" t="s">
        <v>250</v>
      </c>
      <c r="D807" s="80" t="s">
        <v>60</v>
      </c>
      <c r="E807" s="42">
        <v>2.8E-3</v>
      </c>
      <c r="F807" s="42">
        <f>E807*E797</f>
        <v>3.7800000000000004E-3</v>
      </c>
    </row>
    <row r="808" spans="1:6" ht="22.5" x14ac:dyDescent="0.25">
      <c r="A808" s="23" t="s">
        <v>1153</v>
      </c>
      <c r="B808" s="24" t="s">
        <v>1071</v>
      </c>
      <c r="C808" s="25" t="s">
        <v>1072</v>
      </c>
      <c r="D808" s="80" t="s">
        <v>60</v>
      </c>
      <c r="E808" s="42">
        <v>2.3999999999999998E-3</v>
      </c>
      <c r="F808" s="42">
        <f>E808*E797</f>
        <v>3.2399999999999998E-3</v>
      </c>
    </row>
    <row r="809" spans="1:6" ht="22.5" x14ac:dyDescent="0.25">
      <c r="A809" s="23" t="s">
        <v>1154</v>
      </c>
      <c r="B809" s="24" t="s">
        <v>1074</v>
      </c>
      <c r="C809" s="25" t="s">
        <v>1075</v>
      </c>
      <c r="D809" s="80" t="s">
        <v>60</v>
      </c>
      <c r="E809" s="42">
        <v>3.0000000000000001E-3</v>
      </c>
      <c r="F809" s="42">
        <f>E809*E797</f>
        <v>4.0500000000000006E-3</v>
      </c>
    </row>
    <row r="810" spans="1:6" ht="33.75" x14ac:dyDescent="0.25">
      <c r="A810" s="23" t="s">
        <v>1155</v>
      </c>
      <c r="B810" s="24" t="s">
        <v>904</v>
      </c>
      <c r="C810" s="25" t="s">
        <v>905</v>
      </c>
      <c r="D810" s="80" t="s">
        <v>54</v>
      </c>
      <c r="E810" s="42">
        <v>0.1</v>
      </c>
      <c r="F810" s="42">
        <f>E810*E797</f>
        <v>0.13500000000000001</v>
      </c>
    </row>
    <row r="811" spans="1:6" ht="33.75" x14ac:dyDescent="0.25">
      <c r="A811" s="23" t="s">
        <v>1156</v>
      </c>
      <c r="B811" s="24" t="s">
        <v>1078</v>
      </c>
      <c r="C811" s="25" t="s">
        <v>1079</v>
      </c>
      <c r="D811" s="80" t="s">
        <v>54</v>
      </c>
      <c r="E811" s="42">
        <v>7.0000000000000007E-2</v>
      </c>
      <c r="F811" s="42">
        <f>E811*E797</f>
        <v>9.4500000000000015E-2</v>
      </c>
    </row>
    <row r="812" spans="1:6" x14ac:dyDescent="0.25">
      <c r="A812" s="23" t="s">
        <v>1157</v>
      </c>
      <c r="B812" s="24" t="s">
        <v>1081</v>
      </c>
      <c r="C812" s="25" t="s">
        <v>1082</v>
      </c>
      <c r="D812" s="80" t="s">
        <v>164</v>
      </c>
      <c r="E812" s="42">
        <v>2</v>
      </c>
      <c r="F812" s="42">
        <f>E812*E797</f>
        <v>2.7</v>
      </c>
    </row>
    <row r="813" spans="1:6" x14ac:dyDescent="0.25">
      <c r="A813" s="23" t="s">
        <v>1158</v>
      </c>
      <c r="B813" s="24" t="s">
        <v>1084</v>
      </c>
      <c r="C813" s="25" t="s">
        <v>366</v>
      </c>
      <c r="D813" s="80" t="s">
        <v>367</v>
      </c>
      <c r="E813" s="42">
        <v>3</v>
      </c>
      <c r="F813" s="42">
        <f>E813*E797</f>
        <v>4.0500000000000007</v>
      </c>
    </row>
    <row r="814" spans="1:6" ht="31.5" x14ac:dyDescent="0.25">
      <c r="A814" s="15" t="s">
        <v>566</v>
      </c>
      <c r="B814" s="82" t="s">
        <v>914</v>
      </c>
      <c r="C814" s="82" t="s">
        <v>915</v>
      </c>
      <c r="D814" s="77" t="s">
        <v>60</v>
      </c>
      <c r="E814" s="125">
        <v>8.5999999999999993E-2</v>
      </c>
      <c r="F814" s="125"/>
    </row>
    <row r="815" spans="1:6" ht="21" x14ac:dyDescent="0.25">
      <c r="A815" s="15" t="s">
        <v>1159</v>
      </c>
      <c r="B815" s="82" t="s">
        <v>1160</v>
      </c>
      <c r="C815" s="82" t="s">
        <v>1161</v>
      </c>
      <c r="D815" s="77" t="s">
        <v>60</v>
      </c>
      <c r="E815" s="125">
        <v>1.64</v>
      </c>
      <c r="F815" s="125"/>
    </row>
    <row r="816" spans="1:6" x14ac:dyDescent="0.25">
      <c r="A816" s="17" t="s">
        <v>1162</v>
      </c>
      <c r="B816" s="18" t="s">
        <v>8</v>
      </c>
      <c r="C816" s="19" t="s">
        <v>35</v>
      </c>
      <c r="D816" s="78" t="s">
        <v>858</v>
      </c>
      <c r="E816" s="40">
        <v>66.489999999999995</v>
      </c>
      <c r="F816" s="40">
        <f>E816*E815</f>
        <v>109.04359999999998</v>
      </c>
    </row>
    <row r="817" spans="1:6" x14ac:dyDescent="0.25">
      <c r="A817" s="17" t="s">
        <v>1163</v>
      </c>
      <c r="B817" s="18" t="s">
        <v>30</v>
      </c>
      <c r="C817" s="19" t="s">
        <v>15</v>
      </c>
      <c r="D817" s="78" t="s">
        <v>858</v>
      </c>
      <c r="E817" s="40">
        <v>0.01</v>
      </c>
      <c r="F817" s="40">
        <f>E817*E815</f>
        <v>1.6399999999999998E-2</v>
      </c>
    </row>
    <row r="818" spans="1:6" ht="22.5" x14ac:dyDescent="0.25">
      <c r="A818" s="20" t="s">
        <v>1164</v>
      </c>
      <c r="B818" s="21" t="s">
        <v>1165</v>
      </c>
      <c r="C818" s="22" t="s">
        <v>1166</v>
      </c>
      <c r="D818" s="79" t="s">
        <v>861</v>
      </c>
      <c r="E818" s="41">
        <v>0.33</v>
      </c>
      <c r="F818" s="41">
        <f>E818*E815</f>
        <v>0.54120000000000001</v>
      </c>
    </row>
    <row r="819" spans="1:6" x14ac:dyDescent="0.25">
      <c r="A819" s="20" t="s">
        <v>1167</v>
      </c>
      <c r="B819" s="21" t="s">
        <v>1055</v>
      </c>
      <c r="C819" s="22" t="s">
        <v>1056</v>
      </c>
      <c r="D819" s="79" t="s">
        <v>861</v>
      </c>
      <c r="E819" s="41">
        <v>3.98</v>
      </c>
      <c r="F819" s="41">
        <f>E819*E815</f>
        <v>6.5271999999999997</v>
      </c>
    </row>
    <row r="820" spans="1:6" ht="22.5" x14ac:dyDescent="0.25">
      <c r="A820" s="20" t="s">
        <v>1168</v>
      </c>
      <c r="B820" s="21" t="s">
        <v>1091</v>
      </c>
      <c r="C820" s="22" t="s">
        <v>497</v>
      </c>
      <c r="D820" s="79" t="s">
        <v>861</v>
      </c>
      <c r="E820" s="41">
        <v>0.19</v>
      </c>
      <c r="F820" s="41">
        <f>E820*E815</f>
        <v>0.31159999999999999</v>
      </c>
    </row>
    <row r="821" spans="1:6" ht="22.5" x14ac:dyDescent="0.25">
      <c r="A821" s="20" t="s">
        <v>1169</v>
      </c>
      <c r="B821" s="21" t="s">
        <v>883</v>
      </c>
      <c r="C821" s="22" t="s">
        <v>190</v>
      </c>
      <c r="D821" s="79" t="s">
        <v>861</v>
      </c>
      <c r="E821" s="41">
        <v>0.01</v>
      </c>
      <c r="F821" s="41">
        <f>E821*E815</f>
        <v>1.6399999999999998E-2</v>
      </c>
    </row>
    <row r="822" spans="1:6" ht="22.5" x14ac:dyDescent="0.25">
      <c r="A822" s="23" t="s">
        <v>1170</v>
      </c>
      <c r="B822" s="24" t="s">
        <v>937</v>
      </c>
      <c r="C822" s="25" t="s">
        <v>938</v>
      </c>
      <c r="D822" s="80" t="s">
        <v>60</v>
      </c>
      <c r="E822" s="42">
        <v>2.4E-2</v>
      </c>
      <c r="F822" s="42">
        <f>E822*E815</f>
        <v>3.9359999999999999E-2</v>
      </c>
    </row>
    <row r="823" spans="1:6" x14ac:dyDescent="0.25">
      <c r="A823" s="23" t="s">
        <v>1171</v>
      </c>
      <c r="B823" s="24" t="s">
        <v>1095</v>
      </c>
      <c r="C823" s="25" t="s">
        <v>1096</v>
      </c>
      <c r="D823" s="80" t="s">
        <v>60</v>
      </c>
      <c r="E823" s="42">
        <v>8.0000000000000002E-3</v>
      </c>
      <c r="F823" s="42">
        <f>E823*E815</f>
        <v>1.312E-2</v>
      </c>
    </row>
    <row r="824" spans="1:6" x14ac:dyDescent="0.25">
      <c r="A824" s="23" t="s">
        <v>1172</v>
      </c>
      <c r="B824" s="24" t="s">
        <v>1110</v>
      </c>
      <c r="C824" s="25" t="s">
        <v>405</v>
      </c>
      <c r="D824" s="80" t="s">
        <v>60</v>
      </c>
      <c r="E824" s="42">
        <v>6.9999999999999999E-4</v>
      </c>
      <c r="F824" s="42">
        <f>E824*E815</f>
        <v>1.1479999999999999E-3</v>
      </c>
    </row>
    <row r="825" spans="1:6" x14ac:dyDescent="0.25">
      <c r="A825" s="23" t="s">
        <v>1173</v>
      </c>
      <c r="B825" s="24" t="s">
        <v>1081</v>
      </c>
      <c r="C825" s="25" t="s">
        <v>1082</v>
      </c>
      <c r="D825" s="80" t="s">
        <v>164</v>
      </c>
      <c r="E825" s="42">
        <v>6.5</v>
      </c>
      <c r="F825" s="42">
        <f>E825*E815</f>
        <v>10.66</v>
      </c>
    </row>
    <row r="826" spans="1:6" x14ac:dyDescent="0.25">
      <c r="A826" s="23" t="s">
        <v>1174</v>
      </c>
      <c r="B826" s="24" t="s">
        <v>1175</v>
      </c>
      <c r="C826" s="25" t="s">
        <v>1176</v>
      </c>
      <c r="D826" s="80" t="s">
        <v>60</v>
      </c>
      <c r="E826" s="42">
        <v>1</v>
      </c>
      <c r="F826" s="42">
        <f>E826*E815</f>
        <v>1.64</v>
      </c>
    </row>
    <row r="827" spans="1:6" ht="63" x14ac:dyDescent="0.25">
      <c r="A827" s="15" t="s">
        <v>1177</v>
      </c>
      <c r="B827" s="82" t="s">
        <v>1178</v>
      </c>
      <c r="C827" s="82" t="s">
        <v>1179</v>
      </c>
      <c r="D827" s="77" t="s">
        <v>512</v>
      </c>
      <c r="E827" s="125">
        <v>1.56</v>
      </c>
      <c r="F827" s="125"/>
    </row>
    <row r="828" spans="1:6" x14ac:dyDescent="0.25">
      <c r="A828" s="17" t="s">
        <v>1180</v>
      </c>
      <c r="B828" s="18" t="s">
        <v>8</v>
      </c>
      <c r="C828" s="19" t="s">
        <v>35</v>
      </c>
      <c r="D828" s="78" t="s">
        <v>858</v>
      </c>
      <c r="E828" s="40">
        <v>157.66999999999999</v>
      </c>
      <c r="F828" s="40">
        <f>E828*E827</f>
        <v>245.96519999999998</v>
      </c>
    </row>
    <row r="829" spans="1:6" x14ac:dyDescent="0.25">
      <c r="A829" s="17" t="s">
        <v>1181</v>
      </c>
      <c r="B829" s="18" t="s">
        <v>30</v>
      </c>
      <c r="C829" s="19" t="s">
        <v>15</v>
      </c>
      <c r="D829" s="78" t="s">
        <v>858</v>
      </c>
      <c r="E829" s="40">
        <v>5.41</v>
      </c>
      <c r="F829" s="40">
        <f>E829*E827</f>
        <v>8.4396000000000004</v>
      </c>
    </row>
    <row r="830" spans="1:6" x14ac:dyDescent="0.25">
      <c r="A830" s="20" t="s">
        <v>1182</v>
      </c>
      <c r="B830" s="21" t="s">
        <v>1183</v>
      </c>
      <c r="C830" s="22" t="s">
        <v>304</v>
      </c>
      <c r="D830" s="79" t="s">
        <v>861</v>
      </c>
      <c r="E830" s="41">
        <v>3.02</v>
      </c>
      <c r="F830" s="41">
        <f>E830*E827</f>
        <v>4.7111999999999998</v>
      </c>
    </row>
    <row r="831" spans="1:6" ht="33.75" x14ac:dyDescent="0.25">
      <c r="A831" s="20" t="s">
        <v>1184</v>
      </c>
      <c r="B831" s="21" t="s">
        <v>1185</v>
      </c>
      <c r="C831" s="22" t="s">
        <v>1186</v>
      </c>
      <c r="D831" s="79" t="s">
        <v>861</v>
      </c>
      <c r="E831" s="41">
        <v>3.33</v>
      </c>
      <c r="F831" s="41">
        <f>E831*E827</f>
        <v>5.1947999999999999</v>
      </c>
    </row>
    <row r="832" spans="1:6" ht="33.75" x14ac:dyDescent="0.25">
      <c r="A832" s="20" t="s">
        <v>1187</v>
      </c>
      <c r="B832" s="21" t="s">
        <v>875</v>
      </c>
      <c r="C832" s="22" t="s">
        <v>314</v>
      </c>
      <c r="D832" s="79" t="s">
        <v>861</v>
      </c>
      <c r="E832" s="41">
        <v>0.19</v>
      </c>
      <c r="F832" s="41">
        <f>E832*E827</f>
        <v>0.2964</v>
      </c>
    </row>
    <row r="833" spans="1:6" ht="33.75" x14ac:dyDescent="0.25">
      <c r="A833" s="20" t="s">
        <v>1188</v>
      </c>
      <c r="B833" s="21" t="s">
        <v>925</v>
      </c>
      <c r="C833" s="22" t="s">
        <v>319</v>
      </c>
      <c r="D833" s="79" t="s">
        <v>861</v>
      </c>
      <c r="E833" s="41">
        <v>1.56</v>
      </c>
      <c r="F833" s="41">
        <f>E833*E827</f>
        <v>2.4336000000000002</v>
      </c>
    </row>
    <row r="834" spans="1:6" x14ac:dyDescent="0.25">
      <c r="A834" s="20" t="s">
        <v>1189</v>
      </c>
      <c r="B834" s="21" t="s">
        <v>1190</v>
      </c>
      <c r="C834" s="22" t="s">
        <v>519</v>
      </c>
      <c r="D834" s="79" t="s">
        <v>861</v>
      </c>
      <c r="E834" s="41">
        <v>22.92</v>
      </c>
      <c r="F834" s="41">
        <f>E834*E827</f>
        <v>35.755200000000002</v>
      </c>
    </row>
    <row r="835" spans="1:6" ht="22.5" x14ac:dyDescent="0.25">
      <c r="A835" s="20" t="s">
        <v>1191</v>
      </c>
      <c r="B835" s="21" t="s">
        <v>883</v>
      </c>
      <c r="C835" s="22" t="s">
        <v>190</v>
      </c>
      <c r="D835" s="79" t="s">
        <v>861</v>
      </c>
      <c r="E835" s="41">
        <v>0.33</v>
      </c>
      <c r="F835" s="41">
        <f>E835*E827</f>
        <v>0.51480000000000004</v>
      </c>
    </row>
    <row r="836" spans="1:6" ht="22.5" x14ac:dyDescent="0.25">
      <c r="A836" s="23" t="s">
        <v>1192</v>
      </c>
      <c r="B836" s="24" t="s">
        <v>885</v>
      </c>
      <c r="C836" s="25" t="s">
        <v>886</v>
      </c>
      <c r="D836" s="80" t="s">
        <v>54</v>
      </c>
      <c r="E836" s="42">
        <v>7.14</v>
      </c>
      <c r="F836" s="42">
        <f>E836*E827</f>
        <v>11.138400000000001</v>
      </c>
    </row>
    <row r="837" spans="1:6" x14ac:dyDescent="0.25">
      <c r="A837" s="23" t="s">
        <v>1193</v>
      </c>
      <c r="B837" s="24" t="s">
        <v>888</v>
      </c>
      <c r="C837" s="25" t="s">
        <v>194</v>
      </c>
      <c r="D837" s="80" t="s">
        <v>54</v>
      </c>
      <c r="E837" s="42">
        <v>5</v>
      </c>
      <c r="F837" s="42">
        <f>E837*E827</f>
        <v>7.8000000000000007</v>
      </c>
    </row>
    <row r="838" spans="1:6" x14ac:dyDescent="0.25">
      <c r="A838" s="23" t="s">
        <v>1194</v>
      </c>
      <c r="B838" s="24" t="s">
        <v>1195</v>
      </c>
      <c r="C838" s="25" t="s">
        <v>1196</v>
      </c>
      <c r="D838" s="80" t="s">
        <v>60</v>
      </c>
      <c r="E838" s="42">
        <v>0.2</v>
      </c>
      <c r="F838" s="42">
        <f>E838*E827</f>
        <v>0.31200000000000006</v>
      </c>
    </row>
    <row r="839" spans="1:6" ht="22.5" x14ac:dyDescent="0.25">
      <c r="A839" s="23" t="s">
        <v>1197</v>
      </c>
      <c r="B839" s="24" t="s">
        <v>1198</v>
      </c>
      <c r="C839" s="25" t="s">
        <v>1199</v>
      </c>
      <c r="D839" s="80" t="s">
        <v>60</v>
      </c>
      <c r="E839" s="42">
        <v>0.87</v>
      </c>
      <c r="F839" s="42">
        <f>E839*E827</f>
        <v>1.3572</v>
      </c>
    </row>
    <row r="840" spans="1:6" x14ac:dyDescent="0.25">
      <c r="A840" s="23" t="s">
        <v>1200</v>
      </c>
      <c r="B840" s="24" t="s">
        <v>1201</v>
      </c>
      <c r="C840" s="25" t="s">
        <v>1202</v>
      </c>
      <c r="D840" s="80" t="s">
        <v>60</v>
      </c>
      <c r="E840" s="42">
        <v>5.1999999999999998E-2</v>
      </c>
      <c r="F840" s="42">
        <f>E840*E827</f>
        <v>8.1119999999999998E-2</v>
      </c>
    </row>
    <row r="841" spans="1:6" x14ac:dyDescent="0.25">
      <c r="A841" s="23" t="s">
        <v>1203</v>
      </c>
      <c r="B841" s="24" t="s">
        <v>1204</v>
      </c>
      <c r="C841" s="25" t="s">
        <v>563</v>
      </c>
      <c r="D841" s="80" t="s">
        <v>60</v>
      </c>
      <c r="E841" s="42">
        <v>3.2199999999999999E-2</v>
      </c>
      <c r="F841" s="42">
        <f>E841*E827</f>
        <v>5.0231999999999999E-2</v>
      </c>
    </row>
    <row r="842" spans="1:6" ht="22.5" x14ac:dyDescent="0.25">
      <c r="A842" s="23" t="s">
        <v>1205</v>
      </c>
      <c r="B842" s="24" t="s">
        <v>1206</v>
      </c>
      <c r="C842" s="25" t="s">
        <v>1207</v>
      </c>
      <c r="D842" s="80" t="s">
        <v>60</v>
      </c>
      <c r="E842" s="42">
        <v>1.2050000000000001</v>
      </c>
      <c r="F842" s="42">
        <f>E842*E827</f>
        <v>1.8798000000000001</v>
      </c>
    </row>
    <row r="843" spans="1:6" x14ac:dyDescent="0.25">
      <c r="A843" s="23" t="s">
        <v>1208</v>
      </c>
      <c r="B843" s="24" t="s">
        <v>1209</v>
      </c>
      <c r="C843" s="25" t="s">
        <v>1210</v>
      </c>
      <c r="D843" s="80" t="s">
        <v>60</v>
      </c>
      <c r="E843" s="42">
        <v>0.15</v>
      </c>
      <c r="F843" s="42">
        <f>E843*E827</f>
        <v>0.23399999999999999</v>
      </c>
    </row>
    <row r="844" spans="1:6" x14ac:dyDescent="0.25">
      <c r="A844" s="23" t="s">
        <v>1211</v>
      </c>
      <c r="B844" s="24" t="s">
        <v>895</v>
      </c>
      <c r="C844" s="25" t="s">
        <v>896</v>
      </c>
      <c r="D844" s="80" t="s">
        <v>367</v>
      </c>
      <c r="E844" s="42">
        <v>78.510000000000005</v>
      </c>
      <c r="F844" s="42">
        <f>E844*E827</f>
        <v>122.47560000000001</v>
      </c>
    </row>
    <row r="845" spans="1:6" x14ac:dyDescent="0.25">
      <c r="A845" s="23" t="s">
        <v>1212</v>
      </c>
      <c r="B845" s="24" t="s">
        <v>1213</v>
      </c>
      <c r="C845" s="25" t="s">
        <v>1214</v>
      </c>
      <c r="D845" s="80" t="s">
        <v>60</v>
      </c>
      <c r="E845" s="42">
        <v>0.26500000000000001</v>
      </c>
      <c r="F845" s="42">
        <f>E845*E827</f>
        <v>0.41340000000000005</v>
      </c>
    </row>
    <row r="846" spans="1:6" ht="22.5" x14ac:dyDescent="0.25">
      <c r="A846" s="23" t="s">
        <v>1215</v>
      </c>
      <c r="B846" s="24" t="s">
        <v>901</v>
      </c>
      <c r="C846" s="25" t="s">
        <v>902</v>
      </c>
      <c r="D846" s="80" t="s">
        <v>361</v>
      </c>
      <c r="E846" s="42">
        <v>5.71</v>
      </c>
      <c r="F846" s="42">
        <f>E846*E827</f>
        <v>8.9076000000000004</v>
      </c>
    </row>
    <row r="847" spans="1:6" ht="22.5" x14ac:dyDescent="0.25">
      <c r="A847" s="23" t="s">
        <v>1216</v>
      </c>
      <c r="B847" s="24" t="s">
        <v>1217</v>
      </c>
      <c r="C847" s="25" t="s">
        <v>1218</v>
      </c>
      <c r="D847" s="80" t="s">
        <v>1219</v>
      </c>
      <c r="E847" s="42">
        <v>2.75</v>
      </c>
      <c r="F847" s="42">
        <f>E847*E827</f>
        <v>4.29</v>
      </c>
    </row>
    <row r="848" spans="1:6" ht="22.5" x14ac:dyDescent="0.25">
      <c r="A848" s="23" t="s">
        <v>1220</v>
      </c>
      <c r="B848" s="24" t="s">
        <v>1221</v>
      </c>
      <c r="C848" s="25" t="s">
        <v>1222</v>
      </c>
      <c r="D848" s="80" t="s">
        <v>60</v>
      </c>
      <c r="E848" s="42">
        <v>0.158</v>
      </c>
      <c r="F848" s="42">
        <f>E848*E827</f>
        <v>0.24648</v>
      </c>
    </row>
    <row r="849" spans="1:6" x14ac:dyDescent="0.25">
      <c r="A849" s="23" t="s">
        <v>1223</v>
      </c>
      <c r="B849" s="24" t="s">
        <v>1224</v>
      </c>
      <c r="C849" s="25" t="s">
        <v>1225</v>
      </c>
      <c r="D849" s="80" t="s">
        <v>54</v>
      </c>
      <c r="E849" s="42">
        <v>0.2</v>
      </c>
      <c r="F849" s="42">
        <f>E849*E827</f>
        <v>0.31200000000000006</v>
      </c>
    </row>
    <row r="850" spans="1:6" ht="22.5" x14ac:dyDescent="0.25">
      <c r="A850" s="23" t="s">
        <v>1226</v>
      </c>
      <c r="B850" s="24" t="s">
        <v>1227</v>
      </c>
      <c r="C850" s="25" t="s">
        <v>1228</v>
      </c>
      <c r="D850" s="80" t="s">
        <v>60</v>
      </c>
      <c r="E850" s="42">
        <v>0.32</v>
      </c>
      <c r="F850" s="42">
        <f>E850*E827</f>
        <v>0.49920000000000003</v>
      </c>
    </row>
    <row r="851" spans="1:6" ht="42" x14ac:dyDescent="0.25">
      <c r="A851" s="15" t="s">
        <v>1229</v>
      </c>
      <c r="B851" s="82" t="s">
        <v>1230</v>
      </c>
      <c r="C851" s="82" t="s">
        <v>1231</v>
      </c>
      <c r="D851" s="77" t="s">
        <v>604</v>
      </c>
      <c r="E851" s="125">
        <v>0.12</v>
      </c>
      <c r="F851" s="125"/>
    </row>
    <row r="852" spans="1:6" x14ac:dyDescent="0.25">
      <c r="A852" s="17" t="s">
        <v>1232</v>
      </c>
      <c r="B852" s="18" t="s">
        <v>8</v>
      </c>
      <c r="C852" s="19" t="s">
        <v>35</v>
      </c>
      <c r="D852" s="78" t="s">
        <v>858</v>
      </c>
      <c r="E852" s="40">
        <v>33.6</v>
      </c>
      <c r="F852" s="40">
        <f>E852*E851</f>
        <v>4.032</v>
      </c>
    </row>
    <row r="853" spans="1:6" x14ac:dyDescent="0.25">
      <c r="A853" s="17" t="s">
        <v>1233</v>
      </c>
      <c r="B853" s="18" t="s">
        <v>30</v>
      </c>
      <c r="C853" s="19" t="s">
        <v>15</v>
      </c>
      <c r="D853" s="78" t="s">
        <v>858</v>
      </c>
      <c r="E853" s="40">
        <v>16.829999999999998</v>
      </c>
      <c r="F853" s="40">
        <f>E853*E851</f>
        <v>2.0195999999999996</v>
      </c>
    </row>
    <row r="854" spans="1:6" x14ac:dyDescent="0.25">
      <c r="A854" s="20" t="s">
        <v>1234</v>
      </c>
      <c r="B854" s="21" t="s">
        <v>1235</v>
      </c>
      <c r="C854" s="22" t="s">
        <v>1236</v>
      </c>
      <c r="D854" s="79" t="s">
        <v>861</v>
      </c>
      <c r="E854" s="41">
        <v>1.4</v>
      </c>
      <c r="F854" s="41">
        <f>E854*E851</f>
        <v>0.16799999999999998</v>
      </c>
    </row>
    <row r="855" spans="1:6" x14ac:dyDescent="0.25">
      <c r="A855" s="20" t="s">
        <v>1237</v>
      </c>
      <c r="B855" s="21" t="s">
        <v>1238</v>
      </c>
      <c r="C855" s="22" t="s">
        <v>1239</v>
      </c>
      <c r="D855" s="79" t="s">
        <v>861</v>
      </c>
      <c r="E855" s="41">
        <v>3.47</v>
      </c>
      <c r="F855" s="41">
        <f>E855*E851</f>
        <v>0.41639999999999999</v>
      </c>
    </row>
    <row r="856" spans="1:6" x14ac:dyDescent="0.25">
      <c r="A856" s="20" t="s">
        <v>1240</v>
      </c>
      <c r="B856" s="21" t="s">
        <v>1241</v>
      </c>
      <c r="C856" s="22" t="s">
        <v>1242</v>
      </c>
      <c r="D856" s="79" t="s">
        <v>861</v>
      </c>
      <c r="E856" s="41">
        <v>10.1</v>
      </c>
      <c r="F856" s="41">
        <f>E856*E851</f>
        <v>1.212</v>
      </c>
    </row>
    <row r="857" spans="1:6" ht="33.75" x14ac:dyDescent="0.25">
      <c r="A857" s="20" t="s">
        <v>1243</v>
      </c>
      <c r="B857" s="21" t="s">
        <v>875</v>
      </c>
      <c r="C857" s="22" t="s">
        <v>314</v>
      </c>
      <c r="D857" s="79" t="s">
        <v>861</v>
      </c>
      <c r="E857" s="41">
        <v>0.03</v>
      </c>
      <c r="F857" s="41">
        <f>E857*E851</f>
        <v>3.5999999999999999E-3</v>
      </c>
    </row>
    <row r="858" spans="1:6" x14ac:dyDescent="0.25">
      <c r="A858" s="20" t="s">
        <v>1244</v>
      </c>
      <c r="B858" s="21" t="s">
        <v>1245</v>
      </c>
      <c r="C858" s="22" t="s">
        <v>1246</v>
      </c>
      <c r="D858" s="79" t="s">
        <v>861</v>
      </c>
      <c r="E858" s="41">
        <v>0.39</v>
      </c>
      <c r="F858" s="41">
        <f>E858*E851</f>
        <v>4.6800000000000001E-2</v>
      </c>
    </row>
    <row r="859" spans="1:6" x14ac:dyDescent="0.25">
      <c r="A859" s="20" t="s">
        <v>1247</v>
      </c>
      <c r="B859" s="21" t="s">
        <v>1248</v>
      </c>
      <c r="C859" s="22" t="s">
        <v>1249</v>
      </c>
      <c r="D859" s="79" t="s">
        <v>861</v>
      </c>
      <c r="E859" s="41">
        <v>2.8</v>
      </c>
      <c r="F859" s="41">
        <f>E859*E851</f>
        <v>0.33599999999999997</v>
      </c>
    </row>
    <row r="860" spans="1:6" ht="22.5" x14ac:dyDescent="0.25">
      <c r="A860" s="20" t="s">
        <v>1250</v>
      </c>
      <c r="B860" s="21" t="s">
        <v>966</v>
      </c>
      <c r="C860" s="22" t="s">
        <v>190</v>
      </c>
      <c r="D860" s="79" t="s">
        <v>861</v>
      </c>
      <c r="E860" s="41">
        <v>0.04</v>
      </c>
      <c r="F860" s="41">
        <f>E860*E851</f>
        <v>4.7999999999999996E-3</v>
      </c>
    </row>
    <row r="861" spans="1:6" ht="22.5" x14ac:dyDescent="0.25">
      <c r="A861" s="23" t="s">
        <v>1251</v>
      </c>
      <c r="B861" s="24" t="s">
        <v>1252</v>
      </c>
      <c r="C861" s="25" t="s">
        <v>1253</v>
      </c>
      <c r="D861" s="80" t="s">
        <v>60</v>
      </c>
      <c r="E861" s="42">
        <v>96.6</v>
      </c>
      <c r="F861" s="42">
        <f>E861*E851</f>
        <v>11.591999999999999</v>
      </c>
    </row>
    <row r="862" spans="1:6" x14ac:dyDescent="0.25">
      <c r="A862" s="23" t="s">
        <v>1254</v>
      </c>
      <c r="B862" s="24" t="s">
        <v>1255</v>
      </c>
      <c r="C862" s="25" t="s">
        <v>1256</v>
      </c>
      <c r="D862" s="80" t="s">
        <v>60</v>
      </c>
      <c r="E862" s="42">
        <v>1.0800000000000001E-2</v>
      </c>
      <c r="F862" s="42">
        <f>E862*E851</f>
        <v>1.2960000000000001E-3</v>
      </c>
    </row>
    <row r="863" spans="1:6" ht="22.5" x14ac:dyDescent="0.25">
      <c r="A863" s="23" t="s">
        <v>1257</v>
      </c>
      <c r="B863" s="24" t="s">
        <v>892</v>
      </c>
      <c r="C863" s="25" t="s">
        <v>893</v>
      </c>
      <c r="D863" s="80" t="s">
        <v>60</v>
      </c>
      <c r="E863" s="42">
        <v>6.1999999999999998E-3</v>
      </c>
      <c r="F863" s="42">
        <f>E863*E851</f>
        <v>7.4399999999999998E-4</v>
      </c>
    </row>
    <row r="864" spans="1:6" ht="33.75" x14ac:dyDescent="0.25">
      <c r="A864" s="23" t="s">
        <v>1258</v>
      </c>
      <c r="B864" s="24" t="s">
        <v>1259</v>
      </c>
      <c r="C864" s="25" t="s">
        <v>1260</v>
      </c>
      <c r="D864" s="80" t="s">
        <v>54</v>
      </c>
      <c r="E864" s="42">
        <v>0.15</v>
      </c>
      <c r="F864" s="42">
        <f>E864*E851</f>
        <v>1.7999999999999999E-2</v>
      </c>
    </row>
    <row r="865" spans="1:6" ht="21" x14ac:dyDescent="0.25">
      <c r="A865" s="15" t="s">
        <v>1261</v>
      </c>
      <c r="B865" s="82" t="s">
        <v>1262</v>
      </c>
      <c r="C865" s="82" t="s">
        <v>1263</v>
      </c>
      <c r="D865" s="77" t="s">
        <v>604</v>
      </c>
      <c r="E865" s="125">
        <v>0.12</v>
      </c>
      <c r="F865" s="125"/>
    </row>
    <row r="866" spans="1:6" x14ac:dyDescent="0.25">
      <c r="A866" s="17" t="s">
        <v>1264</v>
      </c>
      <c r="B866" s="18" t="s">
        <v>8</v>
      </c>
      <c r="C866" s="19" t="s">
        <v>35</v>
      </c>
      <c r="D866" s="78" t="s">
        <v>858</v>
      </c>
      <c r="E866" s="40">
        <v>0.54</v>
      </c>
      <c r="F866" s="40">
        <f>E866*E865</f>
        <v>6.4799999999999996E-2</v>
      </c>
    </row>
    <row r="867" spans="1:6" x14ac:dyDescent="0.25">
      <c r="A867" s="20" t="s">
        <v>1265</v>
      </c>
      <c r="B867" s="21" t="s">
        <v>1235</v>
      </c>
      <c r="C867" s="22" t="s">
        <v>1236</v>
      </c>
      <c r="D867" s="79" t="s">
        <v>861</v>
      </c>
      <c r="E867" s="41">
        <v>1.08</v>
      </c>
      <c r="F867" s="41">
        <f>E867*E865</f>
        <v>0.12959999999999999</v>
      </c>
    </row>
    <row r="868" spans="1:6" ht="22.5" x14ac:dyDescent="0.25">
      <c r="A868" s="23" t="s">
        <v>1266</v>
      </c>
      <c r="B868" s="24" t="s">
        <v>1252</v>
      </c>
      <c r="C868" s="25" t="s">
        <v>1253</v>
      </c>
      <c r="D868" s="80" t="s">
        <v>60</v>
      </c>
      <c r="E868" s="42">
        <v>72.599999999999994</v>
      </c>
      <c r="F868" s="42">
        <f>E868*E865</f>
        <v>8.7119999999999997</v>
      </c>
    </row>
    <row r="869" spans="1:6" x14ac:dyDescent="0.25">
      <c r="A869" s="23" t="s">
        <v>1267</v>
      </c>
      <c r="B869" s="24" t="s">
        <v>1255</v>
      </c>
      <c r="C869" s="25" t="s">
        <v>1256</v>
      </c>
      <c r="D869" s="80" t="s">
        <v>60</v>
      </c>
      <c r="E869" s="42">
        <v>8.3999999999999995E-3</v>
      </c>
      <c r="F869" s="42">
        <f>E869*E865</f>
        <v>1.008E-3</v>
      </c>
    </row>
    <row r="870" spans="1:6" ht="42" x14ac:dyDescent="0.25">
      <c r="A870" s="15" t="s">
        <v>1268</v>
      </c>
      <c r="B870" s="82" t="s">
        <v>1269</v>
      </c>
      <c r="C870" s="82" t="s">
        <v>1270</v>
      </c>
      <c r="D870" s="77" t="s">
        <v>512</v>
      </c>
      <c r="E870" s="125">
        <v>0.27</v>
      </c>
      <c r="F870" s="125"/>
    </row>
    <row r="871" spans="1:6" x14ac:dyDescent="0.25">
      <c r="A871" s="17" t="s">
        <v>1271</v>
      </c>
      <c r="B871" s="18" t="s">
        <v>8</v>
      </c>
      <c r="C871" s="19" t="s">
        <v>35</v>
      </c>
      <c r="D871" s="78" t="s">
        <v>858</v>
      </c>
      <c r="E871" s="40">
        <v>71.06</v>
      </c>
      <c r="F871" s="40">
        <f>E871*E870</f>
        <v>19.186200000000003</v>
      </c>
    </row>
    <row r="872" spans="1:6" x14ac:dyDescent="0.25">
      <c r="A872" s="17" t="s">
        <v>1272</v>
      </c>
      <c r="B872" s="18" t="s">
        <v>30</v>
      </c>
      <c r="C872" s="19" t="s">
        <v>15</v>
      </c>
      <c r="D872" s="78" t="s">
        <v>858</v>
      </c>
      <c r="E872" s="40">
        <v>0.04</v>
      </c>
      <c r="F872" s="40">
        <f>E872*E870</f>
        <v>1.0800000000000001E-2</v>
      </c>
    </row>
    <row r="873" spans="1:6" x14ac:dyDescent="0.25">
      <c r="A873" s="20" t="s">
        <v>1273</v>
      </c>
      <c r="B873" s="21" t="s">
        <v>1274</v>
      </c>
      <c r="C873" s="22" t="s">
        <v>1275</v>
      </c>
      <c r="D873" s="79" t="s">
        <v>861</v>
      </c>
      <c r="E873" s="41">
        <v>0.01</v>
      </c>
      <c r="F873" s="41">
        <f>E873*E870</f>
        <v>2.7000000000000001E-3</v>
      </c>
    </row>
    <row r="874" spans="1:6" ht="22.5" x14ac:dyDescent="0.25">
      <c r="A874" s="20" t="s">
        <v>1276</v>
      </c>
      <c r="B874" s="21" t="s">
        <v>966</v>
      </c>
      <c r="C874" s="22" t="s">
        <v>190</v>
      </c>
      <c r="D874" s="79" t="s">
        <v>861</v>
      </c>
      <c r="E874" s="41">
        <v>0.03</v>
      </c>
      <c r="F874" s="41">
        <f>E874*E870</f>
        <v>8.0999999999999996E-3</v>
      </c>
    </row>
    <row r="875" spans="1:6" x14ac:dyDescent="0.25">
      <c r="A875" s="23" t="s">
        <v>1277</v>
      </c>
      <c r="B875" s="24" t="s">
        <v>1278</v>
      </c>
      <c r="C875" s="25" t="s">
        <v>1279</v>
      </c>
      <c r="D875" s="80" t="s">
        <v>524</v>
      </c>
      <c r="E875" s="42">
        <v>2.7</v>
      </c>
      <c r="F875" s="42">
        <f>E875*E870</f>
        <v>0.72900000000000009</v>
      </c>
    </row>
    <row r="876" spans="1:6" ht="22.5" x14ac:dyDescent="0.25">
      <c r="A876" s="23" t="s">
        <v>1280</v>
      </c>
      <c r="B876" s="24" t="s">
        <v>1281</v>
      </c>
      <c r="C876" s="25" t="s">
        <v>1282</v>
      </c>
      <c r="D876" s="80" t="s">
        <v>60</v>
      </c>
      <c r="E876" s="42">
        <v>2.46E-2</v>
      </c>
      <c r="F876" s="42">
        <f>E876*E870</f>
        <v>6.6420000000000003E-3</v>
      </c>
    </row>
    <row r="877" spans="1:6" x14ac:dyDescent="0.25">
      <c r="A877" s="23" t="s">
        <v>1283</v>
      </c>
      <c r="B877" s="24" t="s">
        <v>1284</v>
      </c>
      <c r="C877" s="25" t="s">
        <v>523</v>
      </c>
      <c r="D877" s="80" t="s">
        <v>524</v>
      </c>
      <c r="E877" s="42">
        <v>0.3</v>
      </c>
      <c r="F877" s="42">
        <f>E877*E870</f>
        <v>8.1000000000000003E-2</v>
      </c>
    </row>
    <row r="878" spans="1:6" x14ac:dyDescent="0.25">
      <c r="A878" s="26"/>
      <c r="B878" s="26"/>
      <c r="C878" s="26"/>
      <c r="D878" s="127" t="s">
        <v>1285</v>
      </c>
      <c r="E878" s="127"/>
      <c r="F878" s="127"/>
    </row>
    <row r="879" spans="1:6" ht="42" x14ac:dyDescent="0.25">
      <c r="A879" s="15" t="s">
        <v>1286</v>
      </c>
      <c r="B879" s="82" t="s">
        <v>1287</v>
      </c>
      <c r="C879" s="82" t="s">
        <v>1288</v>
      </c>
      <c r="D879" s="77" t="s">
        <v>175</v>
      </c>
      <c r="E879" s="125">
        <v>0.32</v>
      </c>
      <c r="F879" s="125"/>
    </row>
    <row r="880" spans="1:6" x14ac:dyDescent="0.25">
      <c r="A880" s="17" t="s">
        <v>1289</v>
      </c>
      <c r="B880" s="18" t="s">
        <v>8</v>
      </c>
      <c r="C880" s="19" t="s">
        <v>35</v>
      </c>
      <c r="D880" s="78" t="s">
        <v>858</v>
      </c>
      <c r="E880" s="40">
        <v>254.4</v>
      </c>
      <c r="F880" s="40">
        <f>E880*E879</f>
        <v>81.408000000000001</v>
      </c>
    </row>
    <row r="881" spans="1:6" x14ac:dyDescent="0.25">
      <c r="A881" s="17" t="s">
        <v>1290</v>
      </c>
      <c r="B881" s="18" t="s">
        <v>30</v>
      </c>
      <c r="C881" s="19" t="s">
        <v>15</v>
      </c>
      <c r="D881" s="78" t="s">
        <v>858</v>
      </c>
      <c r="E881" s="40">
        <v>6.31</v>
      </c>
      <c r="F881" s="40">
        <f>E881*E879</f>
        <v>2.0192000000000001</v>
      </c>
    </row>
    <row r="882" spans="1:6" x14ac:dyDescent="0.25">
      <c r="A882" s="20" t="s">
        <v>1291</v>
      </c>
      <c r="B882" s="21" t="s">
        <v>1292</v>
      </c>
      <c r="C882" s="22" t="s">
        <v>1293</v>
      </c>
      <c r="D882" s="79" t="s">
        <v>861</v>
      </c>
      <c r="E882" s="41">
        <v>2.38</v>
      </c>
      <c r="F882" s="41">
        <f>E882*E879</f>
        <v>0.76159999999999994</v>
      </c>
    </row>
    <row r="883" spans="1:6" ht="33.75" x14ac:dyDescent="0.25">
      <c r="A883" s="20" t="s">
        <v>1294</v>
      </c>
      <c r="B883" s="21" t="s">
        <v>873</v>
      </c>
      <c r="C883" s="22" t="s">
        <v>309</v>
      </c>
      <c r="D883" s="79" t="s">
        <v>861</v>
      </c>
      <c r="E883" s="41">
        <v>2.38</v>
      </c>
      <c r="F883" s="41">
        <f>E883*E879</f>
        <v>0.76159999999999994</v>
      </c>
    </row>
    <row r="884" spans="1:6" ht="33.75" x14ac:dyDescent="0.25">
      <c r="A884" s="20" t="s">
        <v>1295</v>
      </c>
      <c r="B884" s="21" t="s">
        <v>875</v>
      </c>
      <c r="C884" s="22" t="s">
        <v>314</v>
      </c>
      <c r="D884" s="79" t="s">
        <v>861</v>
      </c>
      <c r="E884" s="41">
        <v>0.43</v>
      </c>
      <c r="F884" s="41">
        <f>E884*E879</f>
        <v>0.1376</v>
      </c>
    </row>
    <row r="885" spans="1:6" ht="33.75" x14ac:dyDescent="0.25">
      <c r="A885" s="20" t="s">
        <v>1296</v>
      </c>
      <c r="B885" s="21" t="s">
        <v>925</v>
      </c>
      <c r="C885" s="22" t="s">
        <v>319</v>
      </c>
      <c r="D885" s="79" t="s">
        <v>861</v>
      </c>
      <c r="E885" s="41">
        <v>0.48</v>
      </c>
      <c r="F885" s="41">
        <f>E885*E879</f>
        <v>0.15359999999999999</v>
      </c>
    </row>
    <row r="886" spans="1:6" x14ac:dyDescent="0.25">
      <c r="A886" s="20" t="s">
        <v>1297</v>
      </c>
      <c r="B886" s="21" t="s">
        <v>1190</v>
      </c>
      <c r="C886" s="22" t="s">
        <v>519</v>
      </c>
      <c r="D886" s="79" t="s">
        <v>861</v>
      </c>
      <c r="E886" s="41">
        <v>19.489999999999998</v>
      </c>
      <c r="F886" s="41">
        <f>E886*E879</f>
        <v>6.2367999999999997</v>
      </c>
    </row>
    <row r="887" spans="1:6" ht="22.5" x14ac:dyDescent="0.25">
      <c r="A887" s="20" t="s">
        <v>1298</v>
      </c>
      <c r="B887" s="21" t="s">
        <v>883</v>
      </c>
      <c r="C887" s="22" t="s">
        <v>190</v>
      </c>
      <c r="D887" s="79" t="s">
        <v>861</v>
      </c>
      <c r="E887" s="41">
        <v>0.64</v>
      </c>
      <c r="F887" s="41">
        <f>E887*E879</f>
        <v>0.20480000000000001</v>
      </c>
    </row>
    <row r="888" spans="1:6" ht="22.5" x14ac:dyDescent="0.25">
      <c r="A888" s="23" t="s">
        <v>1299</v>
      </c>
      <c r="B888" s="24" t="s">
        <v>1017</v>
      </c>
      <c r="C888" s="25" t="s">
        <v>1018</v>
      </c>
      <c r="D888" s="80" t="s">
        <v>54</v>
      </c>
      <c r="E888" s="42">
        <v>0.30599999999999999</v>
      </c>
      <c r="F888" s="42">
        <f>E888*E879</f>
        <v>9.7920000000000007E-2</v>
      </c>
    </row>
    <row r="889" spans="1:6" x14ac:dyDescent="0.25">
      <c r="A889" s="23" t="s">
        <v>1300</v>
      </c>
      <c r="B889" s="24" t="s">
        <v>1195</v>
      </c>
      <c r="C889" s="25" t="s">
        <v>1196</v>
      </c>
      <c r="D889" s="80" t="s">
        <v>60</v>
      </c>
      <c r="E889" s="42">
        <v>0.16500000000000001</v>
      </c>
      <c r="F889" s="42">
        <f>E889*E879</f>
        <v>5.2800000000000007E-2</v>
      </c>
    </row>
    <row r="890" spans="1:6" x14ac:dyDescent="0.25">
      <c r="A890" s="23" t="s">
        <v>1301</v>
      </c>
      <c r="B890" s="24" t="s">
        <v>1302</v>
      </c>
      <c r="C890" s="25" t="s">
        <v>1303</v>
      </c>
      <c r="D890" s="80" t="s">
        <v>524</v>
      </c>
      <c r="E890" s="42">
        <v>430</v>
      </c>
      <c r="F890" s="42">
        <f>E890*E879</f>
        <v>137.6</v>
      </c>
    </row>
    <row r="891" spans="1:6" x14ac:dyDescent="0.25">
      <c r="A891" s="23" t="s">
        <v>1304</v>
      </c>
      <c r="B891" s="24" t="s">
        <v>1201</v>
      </c>
      <c r="C891" s="25" t="s">
        <v>1202</v>
      </c>
      <c r="D891" s="80" t="s">
        <v>60</v>
      </c>
      <c r="E891" s="42">
        <v>2.5000000000000001E-2</v>
      </c>
      <c r="F891" s="42">
        <f>E891*E879</f>
        <v>8.0000000000000002E-3</v>
      </c>
    </row>
    <row r="892" spans="1:6" x14ac:dyDescent="0.25">
      <c r="A892" s="23" t="s">
        <v>1305</v>
      </c>
      <c r="B892" s="24" t="s">
        <v>1204</v>
      </c>
      <c r="C892" s="25" t="s">
        <v>563</v>
      </c>
      <c r="D892" s="80" t="s">
        <v>60</v>
      </c>
      <c r="E892" s="42">
        <v>1.4999999999999999E-2</v>
      </c>
      <c r="F892" s="42">
        <f>E892*E879</f>
        <v>4.7999999999999996E-3</v>
      </c>
    </row>
    <row r="893" spans="1:6" x14ac:dyDescent="0.25">
      <c r="A893" s="23" t="s">
        <v>1306</v>
      </c>
      <c r="B893" s="24" t="s">
        <v>1209</v>
      </c>
      <c r="C893" s="25" t="s">
        <v>1210</v>
      </c>
      <c r="D893" s="80" t="s">
        <v>60</v>
      </c>
      <c r="E893" s="42">
        <v>0.124</v>
      </c>
      <c r="F893" s="42">
        <f>E893*E879</f>
        <v>3.968E-2</v>
      </c>
    </row>
    <row r="894" spans="1:6" x14ac:dyDescent="0.25">
      <c r="A894" s="23" t="s">
        <v>1307</v>
      </c>
      <c r="B894" s="24" t="s">
        <v>1308</v>
      </c>
      <c r="C894" s="25" t="s">
        <v>1309</v>
      </c>
      <c r="D894" s="80" t="s">
        <v>60</v>
      </c>
      <c r="E894" s="42">
        <v>1.41E-2</v>
      </c>
      <c r="F894" s="42">
        <f>E894*E879</f>
        <v>4.5120000000000004E-3</v>
      </c>
    </row>
    <row r="895" spans="1:6" ht="45" x14ac:dyDescent="0.25">
      <c r="A895" s="23" t="s">
        <v>1310</v>
      </c>
      <c r="B895" s="24" t="s">
        <v>1311</v>
      </c>
      <c r="C895" s="25" t="s">
        <v>1312</v>
      </c>
      <c r="D895" s="80" t="s">
        <v>54</v>
      </c>
      <c r="E895" s="42">
        <v>0.38600000000000001</v>
      </c>
      <c r="F895" s="42">
        <f>E895*E879</f>
        <v>0.12352</v>
      </c>
    </row>
    <row r="896" spans="1:6" ht="22.5" x14ac:dyDescent="0.25">
      <c r="A896" s="23" t="s">
        <v>1313</v>
      </c>
      <c r="B896" s="24" t="s">
        <v>1314</v>
      </c>
      <c r="C896" s="25" t="s">
        <v>1315</v>
      </c>
      <c r="D896" s="80" t="s">
        <v>60</v>
      </c>
      <c r="E896" s="42">
        <v>2.3000000000000001E-4</v>
      </c>
      <c r="F896" s="42">
        <f>E896*E879</f>
        <v>7.36E-5</v>
      </c>
    </row>
    <row r="897" spans="1:6" x14ac:dyDescent="0.25">
      <c r="A897" s="15" t="s">
        <v>1316</v>
      </c>
      <c r="B897" s="82" t="s">
        <v>971</v>
      </c>
      <c r="C897" s="82" t="s">
        <v>1317</v>
      </c>
      <c r="D897" s="77" t="s">
        <v>367</v>
      </c>
      <c r="E897" s="125">
        <v>14.72</v>
      </c>
      <c r="F897" s="125"/>
    </row>
    <row r="898" spans="1:6" x14ac:dyDescent="0.25">
      <c r="A898" s="15" t="s">
        <v>1318</v>
      </c>
      <c r="B898" s="82" t="s">
        <v>971</v>
      </c>
      <c r="C898" s="82" t="s">
        <v>1319</v>
      </c>
      <c r="D898" s="77" t="s">
        <v>1320</v>
      </c>
      <c r="E898" s="125">
        <v>0.35181000000000001</v>
      </c>
      <c r="F898" s="125"/>
    </row>
    <row r="899" spans="1:6" x14ac:dyDescent="0.25">
      <c r="A899" s="15" t="s">
        <v>1321</v>
      </c>
      <c r="B899" s="82" t="s">
        <v>1322</v>
      </c>
      <c r="C899" s="82" t="s">
        <v>1323</v>
      </c>
      <c r="D899" s="77" t="s">
        <v>54</v>
      </c>
      <c r="E899" s="125">
        <v>2.56</v>
      </c>
      <c r="F899" s="125"/>
    </row>
    <row r="900" spans="1:6" ht="42" x14ac:dyDescent="0.25">
      <c r="A900" s="15" t="s">
        <v>1324</v>
      </c>
      <c r="B900" s="82" t="s">
        <v>1325</v>
      </c>
      <c r="C900" s="82" t="s">
        <v>1326</v>
      </c>
      <c r="D900" s="77" t="s">
        <v>60</v>
      </c>
      <c r="E900" s="125">
        <v>0.33279999999999998</v>
      </c>
      <c r="F900" s="125"/>
    </row>
    <row r="901" spans="1:6" ht="21" x14ac:dyDescent="0.25">
      <c r="A901" s="15" t="s">
        <v>1327</v>
      </c>
      <c r="B901" s="82" t="s">
        <v>1328</v>
      </c>
      <c r="C901" s="82" t="s">
        <v>1329</v>
      </c>
      <c r="D901" s="77" t="s">
        <v>367</v>
      </c>
      <c r="E901" s="125">
        <v>64</v>
      </c>
      <c r="F901" s="125"/>
    </row>
    <row r="902" spans="1:6" ht="21" x14ac:dyDescent="0.25">
      <c r="A902" s="15" t="s">
        <v>1330</v>
      </c>
      <c r="B902" s="82" t="s">
        <v>1331</v>
      </c>
      <c r="C902" s="82" t="s">
        <v>1332</v>
      </c>
      <c r="D902" s="77" t="s">
        <v>60</v>
      </c>
      <c r="E902" s="125">
        <v>9.6000000000000002E-2</v>
      </c>
      <c r="F902" s="125"/>
    </row>
    <row r="903" spans="1:6" x14ac:dyDescent="0.25">
      <c r="A903" s="15" t="s">
        <v>1333</v>
      </c>
      <c r="B903" s="82" t="s">
        <v>1334</v>
      </c>
      <c r="C903" s="82" t="s">
        <v>1335</v>
      </c>
      <c r="D903" s="77" t="s">
        <v>1336</v>
      </c>
      <c r="E903" s="125">
        <v>32</v>
      </c>
      <c r="F903" s="125"/>
    </row>
    <row r="904" spans="1:6" x14ac:dyDescent="0.25">
      <c r="A904" s="26"/>
      <c r="B904" s="26"/>
      <c r="C904" s="46" t="s">
        <v>1337</v>
      </c>
      <c r="D904" s="127"/>
      <c r="E904" s="127"/>
      <c r="F904" s="127"/>
    </row>
    <row r="905" spans="1:6" x14ac:dyDescent="0.25">
      <c r="A905" s="15" t="s">
        <v>1338</v>
      </c>
      <c r="B905" s="82" t="s">
        <v>1339</v>
      </c>
      <c r="C905" s="82" t="s">
        <v>1340</v>
      </c>
      <c r="D905" s="77" t="s">
        <v>54</v>
      </c>
      <c r="E905" s="125">
        <v>13.56</v>
      </c>
      <c r="F905" s="125"/>
    </row>
    <row r="906" spans="1:6" x14ac:dyDescent="0.25">
      <c r="A906" s="17" t="s">
        <v>1341</v>
      </c>
      <c r="B906" s="18" t="s">
        <v>8</v>
      </c>
      <c r="C906" s="19" t="s">
        <v>35</v>
      </c>
      <c r="D906" s="78" t="s">
        <v>858</v>
      </c>
      <c r="E906" s="40">
        <v>4.68</v>
      </c>
      <c r="F906" s="40">
        <f>E906*E905</f>
        <v>63.460799999999999</v>
      </c>
    </row>
    <row r="907" spans="1:6" x14ac:dyDescent="0.25">
      <c r="A907" s="17" t="s">
        <v>1342</v>
      </c>
      <c r="B907" s="18" t="s">
        <v>30</v>
      </c>
      <c r="C907" s="19" t="s">
        <v>15</v>
      </c>
      <c r="D907" s="78" t="s">
        <v>858</v>
      </c>
      <c r="E907" s="40">
        <v>0.37</v>
      </c>
      <c r="F907" s="40">
        <f>E907*E905</f>
        <v>5.0171999999999999</v>
      </c>
    </row>
    <row r="908" spans="1:6" x14ac:dyDescent="0.25">
      <c r="A908" s="20" t="s">
        <v>1343</v>
      </c>
      <c r="B908" s="21" t="s">
        <v>1183</v>
      </c>
      <c r="C908" s="22" t="s">
        <v>304</v>
      </c>
      <c r="D908" s="79" t="s">
        <v>861</v>
      </c>
      <c r="E908" s="41">
        <v>0.08</v>
      </c>
      <c r="F908" s="41">
        <f>E908*E905</f>
        <v>1.0848</v>
      </c>
    </row>
    <row r="909" spans="1:6" ht="33.75" x14ac:dyDescent="0.25">
      <c r="A909" s="20" t="s">
        <v>1344</v>
      </c>
      <c r="B909" s="21" t="s">
        <v>1345</v>
      </c>
      <c r="C909" s="22" t="s">
        <v>1346</v>
      </c>
      <c r="D909" s="79" t="s">
        <v>861</v>
      </c>
      <c r="E909" s="41">
        <v>0.28000000000000003</v>
      </c>
      <c r="F909" s="41">
        <f>E909*E905</f>
        <v>3.7968000000000006</v>
      </c>
    </row>
    <row r="910" spans="1:6" x14ac:dyDescent="0.25">
      <c r="A910" s="20" t="s">
        <v>1347</v>
      </c>
      <c r="B910" s="21" t="s">
        <v>1190</v>
      </c>
      <c r="C910" s="22" t="s">
        <v>519</v>
      </c>
      <c r="D910" s="79" t="s">
        <v>861</v>
      </c>
      <c r="E910" s="41">
        <v>0.52</v>
      </c>
      <c r="F910" s="41">
        <f>E910*E905</f>
        <v>7.0512000000000006</v>
      </c>
    </row>
    <row r="911" spans="1:6" ht="22.5" x14ac:dyDescent="0.25">
      <c r="A911" s="20" t="s">
        <v>1348</v>
      </c>
      <c r="B911" s="21" t="s">
        <v>1091</v>
      </c>
      <c r="C911" s="22" t="s">
        <v>497</v>
      </c>
      <c r="D911" s="79" t="s">
        <v>861</v>
      </c>
      <c r="E911" s="41">
        <v>0.02</v>
      </c>
      <c r="F911" s="41">
        <f>E911*E905</f>
        <v>0.2712</v>
      </c>
    </row>
    <row r="912" spans="1:6" ht="45" x14ac:dyDescent="0.25">
      <c r="A912" s="20" t="s">
        <v>1349</v>
      </c>
      <c r="B912" s="21" t="s">
        <v>859</v>
      </c>
      <c r="C912" s="22" t="s">
        <v>860</v>
      </c>
      <c r="D912" s="79" t="s">
        <v>861</v>
      </c>
      <c r="E912" s="41">
        <v>0.08</v>
      </c>
      <c r="F912" s="41">
        <f>E912*E905</f>
        <v>1.0848</v>
      </c>
    </row>
    <row r="913" spans="1:6" ht="22.5" x14ac:dyDescent="0.25">
      <c r="A913" s="20" t="s">
        <v>1350</v>
      </c>
      <c r="B913" s="21" t="s">
        <v>883</v>
      </c>
      <c r="C913" s="22" t="s">
        <v>190</v>
      </c>
      <c r="D913" s="79" t="s">
        <v>861</v>
      </c>
      <c r="E913" s="41">
        <v>0.01</v>
      </c>
      <c r="F913" s="41">
        <f>E913*E905</f>
        <v>0.1356</v>
      </c>
    </row>
    <row r="914" spans="1:6" x14ac:dyDescent="0.25">
      <c r="A914" s="23" t="s">
        <v>1351</v>
      </c>
      <c r="B914" s="24" t="s">
        <v>1352</v>
      </c>
      <c r="C914" s="25" t="s">
        <v>1353</v>
      </c>
      <c r="D914" s="80" t="s">
        <v>54</v>
      </c>
      <c r="E914" s="42">
        <v>0.31</v>
      </c>
      <c r="F914" s="42">
        <f>E914*E905</f>
        <v>4.2035999999999998</v>
      </c>
    </row>
    <row r="915" spans="1:6" ht="22.5" x14ac:dyDescent="0.25">
      <c r="A915" s="23" t="s">
        <v>1354</v>
      </c>
      <c r="B915" s="24" t="s">
        <v>1355</v>
      </c>
      <c r="C915" s="25" t="s">
        <v>1356</v>
      </c>
      <c r="D915" s="80" t="s">
        <v>54</v>
      </c>
      <c r="E915" s="42">
        <v>1.4E-2</v>
      </c>
      <c r="F915" s="42">
        <f>E915*E905</f>
        <v>0.18984000000000001</v>
      </c>
    </row>
    <row r="916" spans="1:6" ht="22.5" x14ac:dyDescent="0.25">
      <c r="A916" s="23" t="s">
        <v>1357</v>
      </c>
      <c r="B916" s="24" t="s">
        <v>1358</v>
      </c>
      <c r="C916" s="25" t="s">
        <v>558</v>
      </c>
      <c r="D916" s="80" t="s">
        <v>60</v>
      </c>
      <c r="E916" s="42">
        <v>2.1999999999999999E-2</v>
      </c>
      <c r="F916" s="42">
        <f>E916*E905</f>
        <v>0.29831999999999997</v>
      </c>
    </row>
    <row r="917" spans="1:6" x14ac:dyDescent="0.25">
      <c r="A917" s="23" t="s">
        <v>1359</v>
      </c>
      <c r="B917" s="24" t="s">
        <v>1360</v>
      </c>
      <c r="C917" s="25" t="s">
        <v>1361</v>
      </c>
      <c r="D917" s="80" t="s">
        <v>60</v>
      </c>
      <c r="E917" s="42">
        <v>2E-3</v>
      </c>
      <c r="F917" s="42">
        <f>E917*E905</f>
        <v>2.7120000000000002E-2</v>
      </c>
    </row>
    <row r="918" spans="1:6" x14ac:dyDescent="0.25">
      <c r="A918" s="23" t="s">
        <v>1362</v>
      </c>
      <c r="B918" s="24" t="s">
        <v>1363</v>
      </c>
      <c r="C918" s="25" t="s">
        <v>1364</v>
      </c>
      <c r="D918" s="80" t="s">
        <v>367</v>
      </c>
      <c r="E918" s="42">
        <v>0.24</v>
      </c>
      <c r="F918" s="42">
        <f>E918*E905</f>
        <v>3.2544</v>
      </c>
    </row>
    <row r="919" spans="1:6" ht="22.5" x14ac:dyDescent="0.25">
      <c r="A919" s="23" t="s">
        <v>1365</v>
      </c>
      <c r="B919" s="24" t="s">
        <v>1206</v>
      </c>
      <c r="C919" s="25" t="s">
        <v>1207</v>
      </c>
      <c r="D919" s="80" t="s">
        <v>60</v>
      </c>
      <c r="E919" s="42">
        <v>0.03</v>
      </c>
      <c r="F919" s="42">
        <f>E919*E905</f>
        <v>0.40679999999999999</v>
      </c>
    </row>
    <row r="920" spans="1:6" ht="22.5" x14ac:dyDescent="0.25">
      <c r="A920" s="23" t="s">
        <v>1366</v>
      </c>
      <c r="B920" s="24" t="s">
        <v>1367</v>
      </c>
      <c r="C920" s="25" t="s">
        <v>1368</v>
      </c>
      <c r="D920" s="80" t="s">
        <v>524</v>
      </c>
      <c r="E920" s="42">
        <v>0.2</v>
      </c>
      <c r="F920" s="42">
        <f>E920*E905</f>
        <v>2.7120000000000002</v>
      </c>
    </row>
    <row r="921" spans="1:6" ht="22.5" x14ac:dyDescent="0.25">
      <c r="A921" s="23" t="s">
        <v>1369</v>
      </c>
      <c r="B921" s="24" t="s">
        <v>1370</v>
      </c>
      <c r="C921" s="25" t="s">
        <v>1371</v>
      </c>
      <c r="D921" s="80" t="s">
        <v>60</v>
      </c>
      <c r="E921" s="42">
        <v>4.0000000000000001E-3</v>
      </c>
      <c r="F921" s="42">
        <f>E921*E905</f>
        <v>5.4240000000000003E-2</v>
      </c>
    </row>
    <row r="922" spans="1:6" x14ac:dyDescent="0.25">
      <c r="A922" s="23" t="s">
        <v>1372</v>
      </c>
      <c r="B922" s="24" t="s">
        <v>895</v>
      </c>
      <c r="C922" s="25" t="s">
        <v>896</v>
      </c>
      <c r="D922" s="80" t="s">
        <v>367</v>
      </c>
      <c r="E922" s="42">
        <v>1.73</v>
      </c>
      <c r="F922" s="42">
        <f>E922*E905</f>
        <v>23.4588</v>
      </c>
    </row>
    <row r="923" spans="1:6" ht="56.25" x14ac:dyDescent="0.25">
      <c r="A923" s="23" t="s">
        <v>1373</v>
      </c>
      <c r="B923" s="24" t="s">
        <v>1374</v>
      </c>
      <c r="C923" s="25" t="s">
        <v>1375</v>
      </c>
      <c r="D923" s="80" t="s">
        <v>60</v>
      </c>
      <c r="E923" s="42">
        <v>3.0000000000000001E-3</v>
      </c>
      <c r="F923" s="42">
        <f>E923*E905</f>
        <v>4.0680000000000001E-2</v>
      </c>
    </row>
    <row r="924" spans="1:6" x14ac:dyDescent="0.25">
      <c r="A924" s="23" t="s">
        <v>1376</v>
      </c>
      <c r="B924" s="24" t="s">
        <v>1110</v>
      </c>
      <c r="C924" s="25" t="s">
        <v>405</v>
      </c>
      <c r="D924" s="80" t="s">
        <v>60</v>
      </c>
      <c r="E924" s="42">
        <v>1.0000000000000001E-5</v>
      </c>
      <c r="F924" s="42">
        <f>E924*E905</f>
        <v>1.3560000000000002E-4</v>
      </c>
    </row>
    <row r="925" spans="1:6" ht="22.5" x14ac:dyDescent="0.25">
      <c r="A925" s="23" t="s">
        <v>1377</v>
      </c>
      <c r="B925" s="24" t="s">
        <v>901</v>
      </c>
      <c r="C925" s="25" t="s">
        <v>902</v>
      </c>
      <c r="D925" s="80" t="s">
        <v>361</v>
      </c>
      <c r="E925" s="42">
        <v>0.126</v>
      </c>
      <c r="F925" s="42">
        <f>E925*E905</f>
        <v>1.7085600000000001</v>
      </c>
    </row>
    <row r="926" spans="1:6" ht="33.75" x14ac:dyDescent="0.25">
      <c r="A926" s="23" t="s">
        <v>1378</v>
      </c>
      <c r="B926" s="24" t="s">
        <v>910</v>
      </c>
      <c r="C926" s="25" t="s">
        <v>911</v>
      </c>
      <c r="D926" s="80" t="s">
        <v>54</v>
      </c>
      <c r="E926" s="42">
        <v>5.0000000000000001E-3</v>
      </c>
      <c r="F926" s="42">
        <f>E926*E905</f>
        <v>6.7799999999999999E-2</v>
      </c>
    </row>
    <row r="927" spans="1:6" x14ac:dyDescent="0.25">
      <c r="A927" s="23" t="s">
        <v>1379</v>
      </c>
      <c r="B927" s="24" t="s">
        <v>1380</v>
      </c>
      <c r="C927" s="25" t="s">
        <v>1381</v>
      </c>
      <c r="D927" s="80" t="s">
        <v>60</v>
      </c>
      <c r="E927" s="42">
        <v>5.0000000000000001E-3</v>
      </c>
      <c r="F927" s="42">
        <f>E927*E905</f>
        <v>6.7799999999999999E-2</v>
      </c>
    </row>
    <row r="928" spans="1:6" ht="21" x14ac:dyDescent="0.25">
      <c r="A928" s="15" t="s">
        <v>1382</v>
      </c>
      <c r="B928" s="82" t="s">
        <v>1383</v>
      </c>
      <c r="C928" s="82" t="s">
        <v>1384</v>
      </c>
      <c r="D928" s="77" t="s">
        <v>164</v>
      </c>
      <c r="E928" s="125">
        <v>12</v>
      </c>
      <c r="F928" s="125"/>
    </row>
    <row r="929" spans="1:6" ht="21" x14ac:dyDescent="0.25">
      <c r="A929" s="15" t="s">
        <v>1385</v>
      </c>
      <c r="B929" s="82" t="s">
        <v>1386</v>
      </c>
      <c r="C929" s="82" t="s">
        <v>1387</v>
      </c>
      <c r="D929" s="77" t="s">
        <v>107</v>
      </c>
      <c r="E929" s="125">
        <v>0.06</v>
      </c>
      <c r="F929" s="125"/>
    </row>
    <row r="930" spans="1:6" x14ac:dyDescent="0.25">
      <c r="A930" s="17" t="s">
        <v>1388</v>
      </c>
      <c r="B930" s="18" t="s">
        <v>8</v>
      </c>
      <c r="C930" s="19" t="s">
        <v>35</v>
      </c>
      <c r="D930" s="78" t="s">
        <v>858</v>
      </c>
      <c r="E930" s="40">
        <v>273.27999999999997</v>
      </c>
      <c r="F930" s="40">
        <f>E930*E929</f>
        <v>16.396799999999999</v>
      </c>
    </row>
    <row r="931" spans="1:6" x14ac:dyDescent="0.25">
      <c r="A931" s="17" t="s">
        <v>1389</v>
      </c>
      <c r="B931" s="18" t="s">
        <v>30</v>
      </c>
      <c r="C931" s="19" t="s">
        <v>15</v>
      </c>
      <c r="D931" s="78" t="s">
        <v>858</v>
      </c>
      <c r="E931" s="40">
        <v>91.84</v>
      </c>
      <c r="F931" s="40">
        <f>E931*E929</f>
        <v>5.5103999999999997</v>
      </c>
    </row>
    <row r="932" spans="1:6" ht="33.75" x14ac:dyDescent="0.25">
      <c r="A932" s="20" t="s">
        <v>1390</v>
      </c>
      <c r="B932" s="21" t="s">
        <v>1391</v>
      </c>
      <c r="C932" s="22" t="s">
        <v>1392</v>
      </c>
      <c r="D932" s="79" t="s">
        <v>861</v>
      </c>
      <c r="E932" s="41">
        <v>91.84</v>
      </c>
      <c r="F932" s="41">
        <f>E932*E929</f>
        <v>5.5103999999999997</v>
      </c>
    </row>
    <row r="933" spans="1:6" ht="22.5" x14ac:dyDescent="0.25">
      <c r="A933" s="23" t="s">
        <v>1393</v>
      </c>
      <c r="B933" s="24" t="s">
        <v>1017</v>
      </c>
      <c r="C933" s="25" t="s">
        <v>1018</v>
      </c>
      <c r="D933" s="80" t="s">
        <v>54</v>
      </c>
      <c r="E933" s="42">
        <v>8.6</v>
      </c>
      <c r="F933" s="42">
        <f>E933*E929</f>
        <v>0.51600000000000001</v>
      </c>
    </row>
    <row r="934" spans="1:6" x14ac:dyDescent="0.25">
      <c r="A934" s="23" t="s">
        <v>1394</v>
      </c>
      <c r="B934" s="24" t="s">
        <v>1395</v>
      </c>
      <c r="C934" s="25" t="s">
        <v>1396</v>
      </c>
      <c r="D934" s="80" t="s">
        <v>524</v>
      </c>
      <c r="E934" s="42">
        <v>20</v>
      </c>
      <c r="F934" s="42">
        <f>E934*E929</f>
        <v>1.2</v>
      </c>
    </row>
    <row r="935" spans="1:6" ht="21" x14ac:dyDescent="0.25">
      <c r="A935" s="15" t="s">
        <v>1397</v>
      </c>
      <c r="B935" s="82" t="s">
        <v>1398</v>
      </c>
      <c r="C935" s="82" t="s">
        <v>1399</v>
      </c>
      <c r="D935" s="77" t="s">
        <v>54</v>
      </c>
      <c r="E935" s="125">
        <v>6</v>
      </c>
      <c r="F935" s="125"/>
    </row>
    <row r="936" spans="1:6" ht="31.5" x14ac:dyDescent="0.25">
      <c r="A936" s="15" t="s">
        <v>1400</v>
      </c>
      <c r="B936" s="82" t="s">
        <v>1049</v>
      </c>
      <c r="C936" s="82" t="s">
        <v>1050</v>
      </c>
      <c r="D936" s="77" t="s">
        <v>54</v>
      </c>
      <c r="E936" s="125">
        <v>0.9</v>
      </c>
      <c r="F936" s="125"/>
    </row>
    <row r="937" spans="1:6" x14ac:dyDescent="0.25">
      <c r="A937" s="17" t="s">
        <v>1401</v>
      </c>
      <c r="B937" s="18" t="s">
        <v>8</v>
      </c>
      <c r="C937" s="19" t="s">
        <v>35</v>
      </c>
      <c r="D937" s="78" t="s">
        <v>858</v>
      </c>
      <c r="E937" s="40">
        <v>22.94</v>
      </c>
      <c r="F937" s="40">
        <f>E937*E936</f>
        <v>20.646000000000001</v>
      </c>
    </row>
    <row r="938" spans="1:6" x14ac:dyDescent="0.25">
      <c r="A938" s="17" t="s">
        <v>1402</v>
      </c>
      <c r="B938" s="18" t="s">
        <v>30</v>
      </c>
      <c r="C938" s="19" t="s">
        <v>15</v>
      </c>
      <c r="D938" s="78" t="s">
        <v>858</v>
      </c>
      <c r="E938" s="40">
        <v>0.28999999999999998</v>
      </c>
      <c r="F938" s="40">
        <f>E938*E936</f>
        <v>0.26100000000000001</v>
      </c>
    </row>
    <row r="939" spans="1:6" ht="33.75" x14ac:dyDescent="0.25">
      <c r="A939" s="20" t="s">
        <v>1403</v>
      </c>
      <c r="B939" s="21" t="s">
        <v>875</v>
      </c>
      <c r="C939" s="22" t="s">
        <v>314</v>
      </c>
      <c r="D939" s="79" t="s">
        <v>861</v>
      </c>
      <c r="E939" s="41">
        <v>0.12</v>
      </c>
      <c r="F939" s="41">
        <f>E939*E936</f>
        <v>0.108</v>
      </c>
    </row>
    <row r="940" spans="1:6" x14ac:dyDescent="0.25">
      <c r="A940" s="20" t="s">
        <v>1404</v>
      </c>
      <c r="B940" s="21" t="s">
        <v>1055</v>
      </c>
      <c r="C940" s="22" t="s">
        <v>1056</v>
      </c>
      <c r="D940" s="79" t="s">
        <v>861</v>
      </c>
      <c r="E940" s="41">
        <v>1.92</v>
      </c>
      <c r="F940" s="41">
        <f>E940*E936</f>
        <v>1.728</v>
      </c>
    </row>
    <row r="941" spans="1:6" ht="22.5" x14ac:dyDescent="0.25">
      <c r="A941" s="20" t="s">
        <v>1405</v>
      </c>
      <c r="B941" s="21" t="s">
        <v>966</v>
      </c>
      <c r="C941" s="22" t="s">
        <v>190</v>
      </c>
      <c r="D941" s="79" t="s">
        <v>861</v>
      </c>
      <c r="E941" s="41">
        <v>0.17</v>
      </c>
      <c r="F941" s="41">
        <f>E941*E936</f>
        <v>0.15300000000000002</v>
      </c>
    </row>
    <row r="942" spans="1:6" ht="22.5" x14ac:dyDescent="0.25">
      <c r="A942" s="20" t="s">
        <v>1406</v>
      </c>
      <c r="B942" s="21" t="s">
        <v>1059</v>
      </c>
      <c r="C942" s="22" t="s">
        <v>1060</v>
      </c>
      <c r="D942" s="79" t="s">
        <v>861</v>
      </c>
      <c r="E942" s="41">
        <v>0.21</v>
      </c>
      <c r="F942" s="41">
        <f>E942*E936</f>
        <v>0.189</v>
      </c>
    </row>
    <row r="943" spans="1:6" ht="22.5" x14ac:dyDescent="0.25">
      <c r="A943" s="23" t="s">
        <v>1407</v>
      </c>
      <c r="B943" s="24" t="s">
        <v>1408</v>
      </c>
      <c r="C943" s="25" t="s">
        <v>1409</v>
      </c>
      <c r="D943" s="80" t="s">
        <v>54</v>
      </c>
      <c r="E943" s="42">
        <v>1.02</v>
      </c>
      <c r="F943" s="42">
        <f>E943*E936</f>
        <v>0.91800000000000004</v>
      </c>
    </row>
    <row r="944" spans="1:6" x14ac:dyDescent="0.25">
      <c r="A944" s="23" t="s">
        <v>1410</v>
      </c>
      <c r="B944" s="24" t="s">
        <v>1062</v>
      </c>
      <c r="C944" s="25" t="s">
        <v>194</v>
      </c>
      <c r="D944" s="80" t="s">
        <v>54</v>
      </c>
      <c r="E944" s="42">
        <v>7.0000000000000001E-3</v>
      </c>
      <c r="F944" s="42">
        <f>E944*E936</f>
        <v>6.3E-3</v>
      </c>
    </row>
    <row r="945" spans="1:6" ht="22.5" x14ac:dyDescent="0.25">
      <c r="A945" s="23" t="s">
        <v>1411</v>
      </c>
      <c r="B945" s="24" t="s">
        <v>1064</v>
      </c>
      <c r="C945" s="25" t="s">
        <v>1065</v>
      </c>
      <c r="D945" s="80" t="s">
        <v>54</v>
      </c>
      <c r="E945" s="42">
        <v>0.08</v>
      </c>
      <c r="F945" s="42">
        <f>E945*E936</f>
        <v>7.2000000000000008E-2</v>
      </c>
    </row>
    <row r="946" spans="1:6" x14ac:dyDescent="0.25">
      <c r="A946" s="23" t="s">
        <v>1412</v>
      </c>
      <c r="B946" s="24" t="s">
        <v>890</v>
      </c>
      <c r="C946" s="25" t="s">
        <v>250</v>
      </c>
      <c r="D946" s="80" t="s">
        <v>60</v>
      </c>
      <c r="E946" s="42">
        <v>2.8E-3</v>
      </c>
      <c r="F946" s="42">
        <f>E946*E936</f>
        <v>2.5200000000000001E-3</v>
      </c>
    </row>
    <row r="947" spans="1:6" ht="22.5" x14ac:dyDescent="0.25">
      <c r="A947" s="23" t="s">
        <v>1413</v>
      </c>
      <c r="B947" s="24" t="s">
        <v>1071</v>
      </c>
      <c r="C947" s="25" t="s">
        <v>1072</v>
      </c>
      <c r="D947" s="80" t="s">
        <v>60</v>
      </c>
      <c r="E947" s="42">
        <v>2.3999999999999998E-3</v>
      </c>
      <c r="F947" s="42">
        <f>E947*E936</f>
        <v>2.16E-3</v>
      </c>
    </row>
    <row r="948" spans="1:6" ht="22.5" x14ac:dyDescent="0.25">
      <c r="A948" s="23" t="s">
        <v>1414</v>
      </c>
      <c r="B948" s="24" t="s">
        <v>1074</v>
      </c>
      <c r="C948" s="25" t="s">
        <v>1075</v>
      </c>
      <c r="D948" s="80" t="s">
        <v>60</v>
      </c>
      <c r="E948" s="42">
        <v>3.0000000000000001E-3</v>
      </c>
      <c r="F948" s="42">
        <f>E948*E936</f>
        <v>2.7000000000000001E-3</v>
      </c>
    </row>
    <row r="949" spans="1:6" ht="33.75" x14ac:dyDescent="0.25">
      <c r="A949" s="23" t="s">
        <v>1415</v>
      </c>
      <c r="B949" s="24" t="s">
        <v>904</v>
      </c>
      <c r="C949" s="25" t="s">
        <v>905</v>
      </c>
      <c r="D949" s="80" t="s">
        <v>54</v>
      </c>
      <c r="E949" s="42">
        <v>0.1</v>
      </c>
      <c r="F949" s="42">
        <f>E949*E936</f>
        <v>9.0000000000000011E-2</v>
      </c>
    </row>
    <row r="950" spans="1:6" ht="33.75" x14ac:dyDescent="0.25">
      <c r="A950" s="23" t="s">
        <v>1416</v>
      </c>
      <c r="B950" s="24" t="s">
        <v>1078</v>
      </c>
      <c r="C950" s="25" t="s">
        <v>1079</v>
      </c>
      <c r="D950" s="80" t="s">
        <v>54</v>
      </c>
      <c r="E950" s="42">
        <v>7.0000000000000007E-2</v>
      </c>
      <c r="F950" s="42">
        <f>E950*E936</f>
        <v>6.3000000000000014E-2</v>
      </c>
    </row>
    <row r="951" spans="1:6" x14ac:dyDescent="0.25">
      <c r="A951" s="23" t="s">
        <v>1417</v>
      </c>
      <c r="B951" s="24" t="s">
        <v>1081</v>
      </c>
      <c r="C951" s="25" t="s">
        <v>1082</v>
      </c>
      <c r="D951" s="80" t="s">
        <v>164</v>
      </c>
      <c r="E951" s="42">
        <v>2</v>
      </c>
      <c r="F951" s="42">
        <f>E951*E936</f>
        <v>1.8</v>
      </c>
    </row>
    <row r="952" spans="1:6" x14ac:dyDescent="0.25">
      <c r="A952" s="23" t="s">
        <v>1418</v>
      </c>
      <c r="B952" s="24" t="s">
        <v>1084</v>
      </c>
      <c r="C952" s="25" t="s">
        <v>366</v>
      </c>
      <c r="D952" s="80" t="s">
        <v>367</v>
      </c>
      <c r="E952" s="42">
        <v>3</v>
      </c>
      <c r="F952" s="42">
        <f>E952*E936</f>
        <v>2.7</v>
      </c>
    </row>
    <row r="953" spans="1:6" ht="31.5" x14ac:dyDescent="0.25">
      <c r="A953" s="15" t="s">
        <v>1419</v>
      </c>
      <c r="B953" s="82" t="s">
        <v>1049</v>
      </c>
      <c r="C953" s="82" t="s">
        <v>1420</v>
      </c>
      <c r="D953" s="77" t="s">
        <v>54</v>
      </c>
      <c r="E953" s="125">
        <v>0.3</v>
      </c>
      <c r="F953" s="125"/>
    </row>
    <row r="954" spans="1:6" x14ac:dyDescent="0.25">
      <c r="A954" s="17" t="s">
        <v>1421</v>
      </c>
      <c r="B954" s="18" t="s">
        <v>8</v>
      </c>
      <c r="C954" s="19" t="s">
        <v>35</v>
      </c>
      <c r="D954" s="78" t="s">
        <v>858</v>
      </c>
      <c r="E954" s="40">
        <v>22.94</v>
      </c>
      <c r="F954" s="40">
        <f>E954*E953</f>
        <v>6.8820000000000006</v>
      </c>
    </row>
    <row r="955" spans="1:6" x14ac:dyDescent="0.25">
      <c r="A955" s="17" t="s">
        <v>1422</v>
      </c>
      <c r="B955" s="18" t="s">
        <v>30</v>
      </c>
      <c r="C955" s="19" t="s">
        <v>15</v>
      </c>
      <c r="D955" s="78" t="s">
        <v>858</v>
      </c>
      <c r="E955" s="40">
        <v>0.28999999999999998</v>
      </c>
      <c r="F955" s="40">
        <f>E955*E953</f>
        <v>8.6999999999999994E-2</v>
      </c>
    </row>
    <row r="956" spans="1:6" ht="33.75" x14ac:dyDescent="0.25">
      <c r="A956" s="20" t="s">
        <v>1423</v>
      </c>
      <c r="B956" s="21" t="s">
        <v>875</v>
      </c>
      <c r="C956" s="22" t="s">
        <v>314</v>
      </c>
      <c r="D956" s="79" t="s">
        <v>861</v>
      </c>
      <c r="E956" s="41">
        <v>0.12</v>
      </c>
      <c r="F956" s="41">
        <f>E956*E953</f>
        <v>3.5999999999999997E-2</v>
      </c>
    </row>
    <row r="957" spans="1:6" x14ac:dyDescent="0.25">
      <c r="A957" s="20" t="s">
        <v>1424</v>
      </c>
      <c r="B957" s="21" t="s">
        <v>1055</v>
      </c>
      <c r="C957" s="22" t="s">
        <v>1056</v>
      </c>
      <c r="D957" s="79" t="s">
        <v>861</v>
      </c>
      <c r="E957" s="41">
        <v>1.92</v>
      </c>
      <c r="F957" s="41">
        <f>E957*E953</f>
        <v>0.57599999999999996</v>
      </c>
    </row>
    <row r="958" spans="1:6" ht="22.5" x14ac:dyDescent="0.25">
      <c r="A958" s="20" t="s">
        <v>1425</v>
      </c>
      <c r="B958" s="21" t="s">
        <v>966</v>
      </c>
      <c r="C958" s="22" t="s">
        <v>190</v>
      </c>
      <c r="D958" s="79" t="s">
        <v>861</v>
      </c>
      <c r="E958" s="41">
        <v>0.17</v>
      </c>
      <c r="F958" s="41">
        <f>E958*E953</f>
        <v>5.1000000000000004E-2</v>
      </c>
    </row>
    <row r="959" spans="1:6" ht="22.5" x14ac:dyDescent="0.25">
      <c r="A959" s="20" t="s">
        <v>1426</v>
      </c>
      <c r="B959" s="21" t="s">
        <v>1059</v>
      </c>
      <c r="C959" s="22" t="s">
        <v>1060</v>
      </c>
      <c r="D959" s="79" t="s">
        <v>861</v>
      </c>
      <c r="E959" s="41">
        <v>0.21</v>
      </c>
      <c r="F959" s="41">
        <f>E959*E953</f>
        <v>6.3E-2</v>
      </c>
    </row>
    <row r="960" spans="1:6" ht="22.5" x14ac:dyDescent="0.25">
      <c r="A960" s="23" t="s">
        <v>1427</v>
      </c>
      <c r="B960" s="24" t="s">
        <v>1428</v>
      </c>
      <c r="C960" s="25" t="s">
        <v>1429</v>
      </c>
      <c r="D960" s="80" t="s">
        <v>54</v>
      </c>
      <c r="E960" s="42">
        <v>1.02</v>
      </c>
      <c r="F960" s="42">
        <f>E960*E953</f>
        <v>0.30599999999999999</v>
      </c>
    </row>
    <row r="961" spans="1:6" x14ac:dyDescent="0.25">
      <c r="A961" s="23" t="s">
        <v>1430</v>
      </c>
      <c r="B961" s="24" t="s">
        <v>1062</v>
      </c>
      <c r="C961" s="25" t="s">
        <v>194</v>
      </c>
      <c r="D961" s="80" t="s">
        <v>54</v>
      </c>
      <c r="E961" s="42">
        <v>7.0000000000000001E-3</v>
      </c>
      <c r="F961" s="42">
        <f>E961*E953</f>
        <v>2.0999999999999999E-3</v>
      </c>
    </row>
    <row r="962" spans="1:6" ht="22.5" x14ac:dyDescent="0.25">
      <c r="A962" s="23" t="s">
        <v>1431</v>
      </c>
      <c r="B962" s="24" t="s">
        <v>1064</v>
      </c>
      <c r="C962" s="25" t="s">
        <v>1065</v>
      </c>
      <c r="D962" s="80" t="s">
        <v>54</v>
      </c>
      <c r="E962" s="42">
        <v>0.08</v>
      </c>
      <c r="F962" s="42">
        <f>E962*E953</f>
        <v>2.4E-2</v>
      </c>
    </row>
    <row r="963" spans="1:6" x14ac:dyDescent="0.25">
      <c r="A963" s="23" t="s">
        <v>1432</v>
      </c>
      <c r="B963" s="24" t="s">
        <v>890</v>
      </c>
      <c r="C963" s="25" t="s">
        <v>250</v>
      </c>
      <c r="D963" s="80" t="s">
        <v>60</v>
      </c>
      <c r="E963" s="42">
        <v>2.8E-3</v>
      </c>
      <c r="F963" s="42">
        <f>E963*E953</f>
        <v>8.3999999999999993E-4</v>
      </c>
    </row>
    <row r="964" spans="1:6" ht="22.5" x14ac:dyDescent="0.25">
      <c r="A964" s="23" t="s">
        <v>1433</v>
      </c>
      <c r="B964" s="24" t="s">
        <v>1071</v>
      </c>
      <c r="C964" s="25" t="s">
        <v>1072</v>
      </c>
      <c r="D964" s="80" t="s">
        <v>60</v>
      </c>
      <c r="E964" s="42">
        <v>2.3999999999999998E-3</v>
      </c>
      <c r="F964" s="42">
        <f>E964*E953</f>
        <v>7.1999999999999994E-4</v>
      </c>
    </row>
    <row r="965" spans="1:6" ht="22.5" x14ac:dyDescent="0.25">
      <c r="A965" s="23" t="s">
        <v>1434</v>
      </c>
      <c r="B965" s="24" t="s">
        <v>1074</v>
      </c>
      <c r="C965" s="25" t="s">
        <v>1075</v>
      </c>
      <c r="D965" s="80" t="s">
        <v>60</v>
      </c>
      <c r="E965" s="42">
        <v>3.0000000000000001E-3</v>
      </c>
      <c r="F965" s="42">
        <f>E965*E953</f>
        <v>8.9999999999999998E-4</v>
      </c>
    </row>
    <row r="966" spans="1:6" ht="33.75" x14ac:dyDescent="0.25">
      <c r="A966" s="23" t="s">
        <v>1435</v>
      </c>
      <c r="B966" s="24" t="s">
        <v>904</v>
      </c>
      <c r="C966" s="25" t="s">
        <v>905</v>
      </c>
      <c r="D966" s="80" t="s">
        <v>54</v>
      </c>
      <c r="E966" s="42">
        <v>0.1</v>
      </c>
      <c r="F966" s="42">
        <f>E966*E953</f>
        <v>0.03</v>
      </c>
    </row>
    <row r="967" spans="1:6" ht="33.75" x14ac:dyDescent="0.25">
      <c r="A967" s="23" t="s">
        <v>1436</v>
      </c>
      <c r="B967" s="24" t="s">
        <v>1078</v>
      </c>
      <c r="C967" s="25" t="s">
        <v>1079</v>
      </c>
      <c r="D967" s="80" t="s">
        <v>54</v>
      </c>
      <c r="E967" s="42">
        <v>7.0000000000000007E-2</v>
      </c>
      <c r="F967" s="42">
        <f>E967*E953</f>
        <v>2.1000000000000001E-2</v>
      </c>
    </row>
    <row r="968" spans="1:6" x14ac:dyDescent="0.25">
      <c r="A968" s="23" t="s">
        <v>1437</v>
      </c>
      <c r="B968" s="24" t="s">
        <v>1081</v>
      </c>
      <c r="C968" s="25" t="s">
        <v>1082</v>
      </c>
      <c r="D968" s="80" t="s">
        <v>164</v>
      </c>
      <c r="E968" s="42">
        <v>2</v>
      </c>
      <c r="F968" s="42">
        <f>E968*E953</f>
        <v>0.6</v>
      </c>
    </row>
    <row r="969" spans="1:6" x14ac:dyDescent="0.25">
      <c r="A969" s="23" t="s">
        <v>1438</v>
      </c>
      <c r="B969" s="24" t="s">
        <v>1084</v>
      </c>
      <c r="C969" s="25" t="s">
        <v>366</v>
      </c>
      <c r="D969" s="80" t="s">
        <v>367</v>
      </c>
      <c r="E969" s="42">
        <v>3</v>
      </c>
      <c r="F969" s="42">
        <f>E969*E953</f>
        <v>0.89999999999999991</v>
      </c>
    </row>
    <row r="970" spans="1:6" ht="31.5" x14ac:dyDescent="0.25">
      <c r="A970" s="15" t="s">
        <v>1439</v>
      </c>
      <c r="B970" s="82" t="s">
        <v>1440</v>
      </c>
      <c r="C970" s="82" t="s">
        <v>1441</v>
      </c>
      <c r="D970" s="77" t="s">
        <v>107</v>
      </c>
      <c r="E970" s="125">
        <v>9.6000000000000002E-2</v>
      </c>
      <c r="F970" s="125"/>
    </row>
    <row r="971" spans="1:6" x14ac:dyDescent="0.25">
      <c r="A971" s="17" t="s">
        <v>1442</v>
      </c>
      <c r="B971" s="18" t="s">
        <v>8</v>
      </c>
      <c r="C971" s="19" t="s">
        <v>35</v>
      </c>
      <c r="D971" s="78" t="s">
        <v>858</v>
      </c>
      <c r="E971" s="40">
        <v>230.84</v>
      </c>
      <c r="F971" s="40">
        <f>E971*E970</f>
        <v>22.160640000000001</v>
      </c>
    </row>
    <row r="972" spans="1:6" x14ac:dyDescent="0.25">
      <c r="A972" s="17" t="s">
        <v>1443</v>
      </c>
      <c r="B972" s="18" t="s">
        <v>30</v>
      </c>
      <c r="C972" s="19" t="s">
        <v>15</v>
      </c>
      <c r="D972" s="78" t="s">
        <v>858</v>
      </c>
      <c r="E972" s="40">
        <v>8.06</v>
      </c>
      <c r="F972" s="40">
        <f>E972*E970</f>
        <v>0.77376000000000011</v>
      </c>
    </row>
    <row r="973" spans="1:6" ht="33.75" x14ac:dyDescent="0.25">
      <c r="A973" s="20" t="s">
        <v>1444</v>
      </c>
      <c r="B973" s="21" t="s">
        <v>873</v>
      </c>
      <c r="C973" s="22" t="s">
        <v>309</v>
      </c>
      <c r="D973" s="79" t="s">
        <v>861</v>
      </c>
      <c r="E973" s="41">
        <v>8.06</v>
      </c>
      <c r="F973" s="41">
        <f>E973*E970</f>
        <v>0.77376000000000011</v>
      </c>
    </row>
    <row r="974" spans="1:6" x14ac:dyDescent="0.25">
      <c r="A974" s="20" t="s">
        <v>1445</v>
      </c>
      <c r="B974" s="21" t="s">
        <v>1446</v>
      </c>
      <c r="C974" s="22" t="s">
        <v>1447</v>
      </c>
      <c r="D974" s="79" t="s">
        <v>861</v>
      </c>
      <c r="E974" s="41">
        <v>16.12</v>
      </c>
      <c r="F974" s="41">
        <f>E974*E970</f>
        <v>1.5475200000000002</v>
      </c>
    </row>
    <row r="975" spans="1:6" ht="33.75" x14ac:dyDescent="0.25">
      <c r="A975" s="23" t="s">
        <v>1448</v>
      </c>
      <c r="B975" s="24" t="s">
        <v>1449</v>
      </c>
      <c r="C975" s="25" t="s">
        <v>1450</v>
      </c>
      <c r="D975" s="80" t="s">
        <v>54</v>
      </c>
      <c r="E975" s="42">
        <v>139</v>
      </c>
      <c r="F975" s="42">
        <f>E975*E970</f>
        <v>13.343999999999999</v>
      </c>
    </row>
    <row r="976" spans="1:6" ht="42" x14ac:dyDescent="0.25">
      <c r="A976" s="15" t="s">
        <v>1451</v>
      </c>
      <c r="B976" s="82" t="s">
        <v>1452</v>
      </c>
      <c r="C976" s="82" t="s">
        <v>1453</v>
      </c>
      <c r="D976" s="77" t="s">
        <v>604</v>
      </c>
      <c r="E976" s="125">
        <v>0.05</v>
      </c>
      <c r="F976" s="125"/>
    </row>
    <row r="977" spans="1:6" x14ac:dyDescent="0.25">
      <c r="A977" s="17" t="s">
        <v>1454</v>
      </c>
      <c r="B977" s="18" t="s">
        <v>8</v>
      </c>
      <c r="C977" s="19" t="s">
        <v>35</v>
      </c>
      <c r="D977" s="78" t="s">
        <v>858</v>
      </c>
      <c r="E977" s="40">
        <v>33.6</v>
      </c>
      <c r="F977" s="40">
        <f>E977*E976</f>
        <v>1.6800000000000002</v>
      </c>
    </row>
    <row r="978" spans="1:6" x14ac:dyDescent="0.25">
      <c r="A978" s="17" t="s">
        <v>1455</v>
      </c>
      <c r="B978" s="18" t="s">
        <v>30</v>
      </c>
      <c r="C978" s="19" t="s">
        <v>15</v>
      </c>
      <c r="D978" s="78" t="s">
        <v>858</v>
      </c>
      <c r="E978" s="40">
        <v>16.77</v>
      </c>
      <c r="F978" s="40">
        <f>E978*E976</f>
        <v>0.83850000000000002</v>
      </c>
    </row>
    <row r="979" spans="1:6" x14ac:dyDescent="0.25">
      <c r="A979" s="20" t="s">
        <v>1456</v>
      </c>
      <c r="B979" s="21" t="s">
        <v>1235</v>
      </c>
      <c r="C979" s="22" t="s">
        <v>1236</v>
      </c>
      <c r="D979" s="79" t="s">
        <v>861</v>
      </c>
      <c r="E979" s="41">
        <v>1.4</v>
      </c>
      <c r="F979" s="41">
        <f>E979*E976</f>
        <v>6.9999999999999993E-2</v>
      </c>
    </row>
    <row r="980" spans="1:6" x14ac:dyDescent="0.25">
      <c r="A980" s="20" t="s">
        <v>1457</v>
      </c>
      <c r="B980" s="21" t="s">
        <v>1238</v>
      </c>
      <c r="C980" s="22" t="s">
        <v>1239</v>
      </c>
      <c r="D980" s="79" t="s">
        <v>861</v>
      </c>
      <c r="E980" s="41">
        <v>3.47</v>
      </c>
      <c r="F980" s="41">
        <f>E980*E976</f>
        <v>0.17350000000000002</v>
      </c>
    </row>
    <row r="981" spans="1:6" x14ac:dyDescent="0.25">
      <c r="A981" s="20" t="s">
        <v>1458</v>
      </c>
      <c r="B981" s="21" t="s">
        <v>1241</v>
      </c>
      <c r="C981" s="22" t="s">
        <v>1242</v>
      </c>
      <c r="D981" s="79" t="s">
        <v>861</v>
      </c>
      <c r="E981" s="41">
        <v>10.1</v>
      </c>
      <c r="F981" s="41">
        <f>E981*E976</f>
        <v>0.505</v>
      </c>
    </row>
    <row r="982" spans="1:6" x14ac:dyDescent="0.25">
      <c r="A982" s="20" t="s">
        <v>1459</v>
      </c>
      <c r="B982" s="21" t="s">
        <v>1245</v>
      </c>
      <c r="C982" s="22" t="s">
        <v>1246</v>
      </c>
      <c r="D982" s="79" t="s">
        <v>861</v>
      </c>
      <c r="E982" s="41">
        <v>0.39</v>
      </c>
      <c r="F982" s="41">
        <f>E982*E976</f>
        <v>1.9500000000000003E-2</v>
      </c>
    </row>
    <row r="983" spans="1:6" x14ac:dyDescent="0.25">
      <c r="A983" s="20" t="s">
        <v>1460</v>
      </c>
      <c r="B983" s="21" t="s">
        <v>1248</v>
      </c>
      <c r="C983" s="22" t="s">
        <v>1249</v>
      </c>
      <c r="D983" s="79" t="s">
        <v>861</v>
      </c>
      <c r="E983" s="41">
        <v>2.8</v>
      </c>
      <c r="F983" s="41">
        <f>E983*E976</f>
        <v>0.13999999999999999</v>
      </c>
    </row>
    <row r="984" spans="1:6" ht="22.5" x14ac:dyDescent="0.25">
      <c r="A984" s="20" t="s">
        <v>1461</v>
      </c>
      <c r="B984" s="21" t="s">
        <v>966</v>
      </c>
      <c r="C984" s="22" t="s">
        <v>190</v>
      </c>
      <c r="D984" s="79" t="s">
        <v>861</v>
      </c>
      <c r="E984" s="41">
        <v>0.01</v>
      </c>
      <c r="F984" s="41">
        <f>E984*E976</f>
        <v>5.0000000000000001E-4</v>
      </c>
    </row>
    <row r="985" spans="1:6" ht="22.5" x14ac:dyDescent="0.25">
      <c r="A985" s="23" t="s">
        <v>1462</v>
      </c>
      <c r="B985" s="24" t="s">
        <v>1463</v>
      </c>
      <c r="C985" s="25" t="s">
        <v>1464</v>
      </c>
      <c r="D985" s="80" t="s">
        <v>60</v>
      </c>
      <c r="E985" s="42">
        <v>92.5</v>
      </c>
      <c r="F985" s="42">
        <f>E985*E976</f>
        <v>4.625</v>
      </c>
    </row>
    <row r="986" spans="1:6" x14ac:dyDescent="0.25">
      <c r="A986" s="23" t="s">
        <v>1465</v>
      </c>
      <c r="B986" s="24" t="s">
        <v>1255</v>
      </c>
      <c r="C986" s="25" t="s">
        <v>1256</v>
      </c>
      <c r="D986" s="80" t="s">
        <v>60</v>
      </c>
      <c r="E986" s="42">
        <v>1.0800000000000001E-2</v>
      </c>
      <c r="F986" s="42">
        <f>E986*E976</f>
        <v>5.4000000000000001E-4</v>
      </c>
    </row>
    <row r="987" spans="1:6" ht="22.5" x14ac:dyDescent="0.25">
      <c r="A987" s="23" t="s">
        <v>1466</v>
      </c>
      <c r="B987" s="24" t="s">
        <v>892</v>
      </c>
      <c r="C987" s="25" t="s">
        <v>893</v>
      </c>
      <c r="D987" s="80" t="s">
        <v>60</v>
      </c>
      <c r="E987" s="42">
        <v>6.1999999999999998E-3</v>
      </c>
      <c r="F987" s="42">
        <f>E987*E976</f>
        <v>3.1E-4</v>
      </c>
    </row>
    <row r="988" spans="1:6" ht="21" x14ac:dyDescent="0.25">
      <c r="A988" s="15" t="s">
        <v>1467</v>
      </c>
      <c r="B988" s="82" t="s">
        <v>1468</v>
      </c>
      <c r="C988" s="82" t="s">
        <v>1469</v>
      </c>
      <c r="D988" s="77" t="s">
        <v>604</v>
      </c>
      <c r="E988" s="125">
        <v>0.05</v>
      </c>
      <c r="F988" s="125"/>
    </row>
    <row r="989" spans="1:6" x14ac:dyDescent="0.25">
      <c r="A989" s="17" t="s">
        <v>1470</v>
      </c>
      <c r="B989" s="18" t="s">
        <v>8</v>
      </c>
      <c r="C989" s="19" t="s">
        <v>35</v>
      </c>
      <c r="D989" s="78" t="s">
        <v>858</v>
      </c>
      <c r="E989" s="40">
        <v>1.08</v>
      </c>
      <c r="F989" s="40">
        <f>E989*E988</f>
        <v>5.4000000000000006E-2</v>
      </c>
    </row>
    <row r="990" spans="1:6" x14ac:dyDescent="0.25">
      <c r="A990" s="20" t="s">
        <v>1471</v>
      </c>
      <c r="B990" s="21" t="s">
        <v>1235</v>
      </c>
      <c r="C990" s="22" t="s">
        <v>1236</v>
      </c>
      <c r="D990" s="79" t="s">
        <v>861</v>
      </c>
      <c r="E990" s="41">
        <v>2.04</v>
      </c>
      <c r="F990" s="41">
        <f>E990*E988</f>
        <v>0.10200000000000001</v>
      </c>
    </row>
    <row r="991" spans="1:6" ht="22.5" x14ac:dyDescent="0.25">
      <c r="A991" s="23" t="s">
        <v>1472</v>
      </c>
      <c r="B991" s="24" t="s">
        <v>1463</v>
      </c>
      <c r="C991" s="25" t="s">
        <v>1464</v>
      </c>
      <c r="D991" s="80" t="s">
        <v>60</v>
      </c>
      <c r="E991" s="42">
        <v>139.19999999999999</v>
      </c>
      <c r="F991" s="42">
        <f>E991*E988</f>
        <v>6.96</v>
      </c>
    </row>
    <row r="992" spans="1:6" x14ac:dyDescent="0.25">
      <c r="A992" s="23" t="s">
        <v>1473</v>
      </c>
      <c r="B992" s="24" t="s">
        <v>1255</v>
      </c>
      <c r="C992" s="25" t="s">
        <v>1256</v>
      </c>
      <c r="D992" s="80" t="s">
        <v>60</v>
      </c>
      <c r="E992" s="42">
        <v>1.6799999999999999E-2</v>
      </c>
      <c r="F992" s="42">
        <f>E992*E988</f>
        <v>8.4000000000000003E-4</v>
      </c>
    </row>
    <row r="993" spans="1:6" x14ac:dyDescent="0.25">
      <c r="A993" s="15" t="s">
        <v>1474</v>
      </c>
      <c r="B993" s="82" t="s">
        <v>1475</v>
      </c>
      <c r="C993" s="82" t="s">
        <v>1476</v>
      </c>
      <c r="D993" s="77" t="s">
        <v>107</v>
      </c>
      <c r="E993" s="125">
        <v>3.4</v>
      </c>
      <c r="F993" s="125"/>
    </row>
    <row r="994" spans="1:6" x14ac:dyDescent="0.25">
      <c r="A994" s="17" t="s">
        <v>1477</v>
      </c>
      <c r="B994" s="18" t="s">
        <v>8</v>
      </c>
      <c r="C994" s="19" t="s">
        <v>35</v>
      </c>
      <c r="D994" s="78" t="s">
        <v>858</v>
      </c>
      <c r="E994" s="40">
        <v>97.2</v>
      </c>
      <c r="F994" s="40">
        <f>E994*E993</f>
        <v>330.48</v>
      </c>
    </row>
    <row r="995" spans="1:6" x14ac:dyDescent="0.25">
      <c r="A995" s="23" t="s">
        <v>1478</v>
      </c>
      <c r="B995" s="24" t="s">
        <v>1479</v>
      </c>
      <c r="C995" s="25" t="s">
        <v>1480</v>
      </c>
      <c r="D995" s="80" t="s">
        <v>54</v>
      </c>
      <c r="E995" s="42">
        <v>105</v>
      </c>
      <c r="F995" s="42">
        <f>E995*E993</f>
        <v>357</v>
      </c>
    </row>
    <row r="996" spans="1:6" ht="15" customHeight="1" x14ac:dyDescent="0.25">
      <c r="A996" s="26"/>
      <c r="B996" s="26"/>
      <c r="C996" s="47" t="s">
        <v>1481</v>
      </c>
      <c r="D996" s="81"/>
      <c r="E996" s="48"/>
      <c r="F996" s="49"/>
    </row>
    <row r="997" spans="1:6" ht="15" customHeight="1" x14ac:dyDescent="0.25">
      <c r="A997" s="26"/>
      <c r="B997" s="26"/>
      <c r="C997" s="47" t="s">
        <v>592</v>
      </c>
      <c r="D997" s="81"/>
      <c r="E997" s="48"/>
      <c r="F997" s="49"/>
    </row>
    <row r="998" spans="1:6" ht="52.5" x14ac:dyDescent="0.25">
      <c r="A998" s="15" t="s">
        <v>1482</v>
      </c>
      <c r="B998" s="82" t="s">
        <v>1483</v>
      </c>
      <c r="C998" s="82" t="s">
        <v>1484</v>
      </c>
      <c r="D998" s="77" t="s">
        <v>11</v>
      </c>
      <c r="E998" s="125">
        <v>0.36</v>
      </c>
      <c r="F998" s="125"/>
    </row>
    <row r="999" spans="1:6" x14ac:dyDescent="0.25">
      <c r="A999" s="17" t="s">
        <v>1485</v>
      </c>
      <c r="B999" s="18" t="s">
        <v>30</v>
      </c>
      <c r="C999" s="19" t="s">
        <v>15</v>
      </c>
      <c r="D999" s="78" t="s">
        <v>858</v>
      </c>
      <c r="E999" s="40">
        <v>11.66</v>
      </c>
      <c r="F999" s="40">
        <f>E999*E998</f>
        <v>4.1975999999999996</v>
      </c>
    </row>
    <row r="1000" spans="1:6" ht="33.75" x14ac:dyDescent="0.25">
      <c r="A1000" s="20" t="s">
        <v>1486</v>
      </c>
      <c r="B1000" s="21" t="s">
        <v>864</v>
      </c>
      <c r="C1000" s="22" t="s">
        <v>20</v>
      </c>
      <c r="D1000" s="79" t="s">
        <v>861</v>
      </c>
      <c r="E1000" s="41">
        <v>11.66</v>
      </c>
      <c r="F1000" s="41">
        <f>E1000*E998</f>
        <v>4.1975999999999996</v>
      </c>
    </row>
    <row r="1001" spans="1:6" ht="31.5" x14ac:dyDescent="0.25">
      <c r="A1001" s="15" t="s">
        <v>1487</v>
      </c>
      <c r="B1001" s="82" t="s">
        <v>865</v>
      </c>
      <c r="C1001" s="82" t="s">
        <v>866</v>
      </c>
      <c r="D1001" s="77" t="s">
        <v>11</v>
      </c>
      <c r="E1001" s="125">
        <v>0.36</v>
      </c>
      <c r="F1001" s="125"/>
    </row>
    <row r="1002" spans="1:6" x14ac:dyDescent="0.25">
      <c r="A1002" s="17" t="s">
        <v>1488</v>
      </c>
      <c r="B1002" s="18" t="s">
        <v>30</v>
      </c>
      <c r="C1002" s="19" t="s">
        <v>15</v>
      </c>
      <c r="D1002" s="78" t="s">
        <v>858</v>
      </c>
      <c r="E1002" s="40">
        <v>9.24</v>
      </c>
      <c r="F1002" s="40">
        <f>E1002*E1001</f>
        <v>3.3264</v>
      </c>
    </row>
    <row r="1003" spans="1:6" ht="33.75" x14ac:dyDescent="0.25">
      <c r="A1003" s="20" t="s">
        <v>1489</v>
      </c>
      <c r="B1003" s="21" t="s">
        <v>864</v>
      </c>
      <c r="C1003" s="22" t="s">
        <v>20</v>
      </c>
      <c r="D1003" s="79" t="s">
        <v>861</v>
      </c>
      <c r="E1003" s="41">
        <v>9.24</v>
      </c>
      <c r="F1003" s="41">
        <f>E1003*E1001</f>
        <v>3.3264</v>
      </c>
    </row>
    <row r="1004" spans="1:6" ht="42" x14ac:dyDescent="0.25">
      <c r="A1004" s="15" t="s">
        <v>1490</v>
      </c>
      <c r="B1004" s="82" t="s">
        <v>1491</v>
      </c>
      <c r="C1004" s="82" t="s">
        <v>1492</v>
      </c>
      <c r="D1004" s="77" t="s">
        <v>11</v>
      </c>
      <c r="E1004" s="125">
        <v>0.36</v>
      </c>
      <c r="F1004" s="125"/>
    </row>
    <row r="1005" spans="1:6" x14ac:dyDescent="0.25">
      <c r="A1005" s="17" t="s">
        <v>1493</v>
      </c>
      <c r="B1005" s="18" t="s">
        <v>30</v>
      </c>
      <c r="C1005" s="19" t="s">
        <v>15</v>
      </c>
      <c r="D1005" s="78" t="s">
        <v>858</v>
      </c>
      <c r="E1005" s="40">
        <v>15.39</v>
      </c>
      <c r="F1005" s="40">
        <f>E1005*E1004</f>
        <v>5.5404</v>
      </c>
    </row>
    <row r="1006" spans="1:6" ht="33.75" x14ac:dyDescent="0.25">
      <c r="A1006" s="20" t="s">
        <v>1494</v>
      </c>
      <c r="B1006" s="21" t="s">
        <v>1495</v>
      </c>
      <c r="C1006" s="22" t="s">
        <v>43</v>
      </c>
      <c r="D1006" s="79" t="s">
        <v>861</v>
      </c>
      <c r="E1006" s="41">
        <v>14.01</v>
      </c>
      <c r="F1006" s="41">
        <f>E1006*E1004</f>
        <v>5.0435999999999996</v>
      </c>
    </row>
    <row r="1007" spans="1:6" ht="22.5" x14ac:dyDescent="0.25">
      <c r="A1007" s="20" t="s">
        <v>1496</v>
      </c>
      <c r="B1007" s="21" t="s">
        <v>1497</v>
      </c>
      <c r="C1007" s="22" t="s">
        <v>1498</v>
      </c>
      <c r="D1007" s="79" t="s">
        <v>861</v>
      </c>
      <c r="E1007" s="41">
        <v>1.38</v>
      </c>
      <c r="F1007" s="41">
        <f>E1007*E1004</f>
        <v>0.49679999999999996</v>
      </c>
    </row>
    <row r="1008" spans="1:6" ht="33.75" x14ac:dyDescent="0.25">
      <c r="A1008" s="20" t="s">
        <v>1499</v>
      </c>
      <c r="B1008" s="21" t="s">
        <v>1500</v>
      </c>
      <c r="C1008" s="22" t="s">
        <v>703</v>
      </c>
      <c r="D1008" s="79" t="s">
        <v>861</v>
      </c>
      <c r="E1008" s="41">
        <v>1.38</v>
      </c>
      <c r="F1008" s="41">
        <f>E1008*E1004</f>
        <v>0.49679999999999996</v>
      </c>
    </row>
    <row r="1009" spans="1:6" ht="31.5" x14ac:dyDescent="0.25">
      <c r="A1009" s="15" t="s">
        <v>1501</v>
      </c>
      <c r="B1009" s="82" t="s">
        <v>1502</v>
      </c>
      <c r="C1009" s="82" t="s">
        <v>1503</v>
      </c>
      <c r="D1009" s="77" t="s">
        <v>11</v>
      </c>
      <c r="E1009" s="125">
        <v>0.36</v>
      </c>
      <c r="F1009" s="125"/>
    </row>
    <row r="1010" spans="1:6" x14ac:dyDescent="0.25">
      <c r="A1010" s="17" t="s">
        <v>1504</v>
      </c>
      <c r="B1010" s="18" t="s">
        <v>30</v>
      </c>
      <c r="C1010" s="19" t="s">
        <v>15</v>
      </c>
      <c r="D1010" s="78" t="s">
        <v>858</v>
      </c>
      <c r="E1010" s="40">
        <v>6.9</v>
      </c>
      <c r="F1010" s="40">
        <f>E1010*E1009</f>
        <v>2.484</v>
      </c>
    </row>
    <row r="1011" spans="1:6" ht="22.5" x14ac:dyDescent="0.25">
      <c r="A1011" s="20" t="s">
        <v>1505</v>
      </c>
      <c r="B1011" s="21" t="s">
        <v>1497</v>
      </c>
      <c r="C1011" s="22" t="s">
        <v>1498</v>
      </c>
      <c r="D1011" s="79" t="s">
        <v>861</v>
      </c>
      <c r="E1011" s="41">
        <v>6.9</v>
      </c>
      <c r="F1011" s="41">
        <f>E1011*E1009</f>
        <v>2.484</v>
      </c>
    </row>
    <row r="1012" spans="1:6" ht="33.75" x14ac:dyDescent="0.25">
      <c r="A1012" s="20" t="s">
        <v>1506</v>
      </c>
      <c r="B1012" s="21" t="s">
        <v>1500</v>
      </c>
      <c r="C1012" s="22" t="s">
        <v>703</v>
      </c>
      <c r="D1012" s="79" t="s">
        <v>861</v>
      </c>
      <c r="E1012" s="41">
        <v>6.9</v>
      </c>
      <c r="F1012" s="41">
        <f>E1012*E1009</f>
        <v>2.484</v>
      </c>
    </row>
    <row r="1013" spans="1:6" ht="52.5" x14ac:dyDescent="0.25">
      <c r="A1013" s="15" t="s">
        <v>1507</v>
      </c>
      <c r="B1013" s="82" t="s">
        <v>862</v>
      </c>
      <c r="C1013" s="82" t="s">
        <v>1508</v>
      </c>
      <c r="D1013" s="77" t="s">
        <v>11</v>
      </c>
      <c r="E1013" s="125">
        <v>0.104</v>
      </c>
      <c r="F1013" s="125"/>
    </row>
    <row r="1014" spans="1:6" x14ac:dyDescent="0.25">
      <c r="A1014" s="17" t="s">
        <v>1509</v>
      </c>
      <c r="B1014" s="18" t="s">
        <v>30</v>
      </c>
      <c r="C1014" s="19" t="s">
        <v>15</v>
      </c>
      <c r="D1014" s="78" t="s">
        <v>858</v>
      </c>
      <c r="E1014" s="40">
        <v>9.9109999999999996</v>
      </c>
      <c r="F1014" s="40">
        <f>E1014*E1013</f>
        <v>1.0307439999999999</v>
      </c>
    </row>
    <row r="1015" spans="1:6" ht="33.75" x14ac:dyDescent="0.25">
      <c r="A1015" s="20" t="s">
        <v>1510</v>
      </c>
      <c r="B1015" s="21" t="s">
        <v>864</v>
      </c>
      <c r="C1015" s="22" t="s">
        <v>20</v>
      </c>
      <c r="D1015" s="79" t="s">
        <v>861</v>
      </c>
      <c r="E1015" s="41">
        <v>9.9109999999999996</v>
      </c>
      <c r="F1015" s="41">
        <f>E1015*E1013</f>
        <v>1.0307439999999999</v>
      </c>
    </row>
    <row r="1016" spans="1:6" ht="42" x14ac:dyDescent="0.25">
      <c r="A1016" s="15" t="s">
        <v>1511</v>
      </c>
      <c r="B1016" s="82" t="s">
        <v>1230</v>
      </c>
      <c r="C1016" s="82" t="s">
        <v>1231</v>
      </c>
      <c r="D1016" s="77" t="s">
        <v>604</v>
      </c>
      <c r="E1016" s="125">
        <v>0.54</v>
      </c>
      <c r="F1016" s="125"/>
    </row>
    <row r="1017" spans="1:6" x14ac:dyDescent="0.25">
      <c r="A1017" s="17" t="s">
        <v>1512</v>
      </c>
      <c r="B1017" s="18" t="s">
        <v>8</v>
      </c>
      <c r="C1017" s="19" t="s">
        <v>35</v>
      </c>
      <c r="D1017" s="78" t="s">
        <v>858</v>
      </c>
      <c r="E1017" s="40">
        <v>33.6</v>
      </c>
      <c r="F1017" s="40">
        <f>E1017*E1016</f>
        <v>18.144000000000002</v>
      </c>
    </row>
    <row r="1018" spans="1:6" x14ac:dyDescent="0.25">
      <c r="A1018" s="17" t="s">
        <v>1513</v>
      </c>
      <c r="B1018" s="18" t="s">
        <v>30</v>
      </c>
      <c r="C1018" s="19" t="s">
        <v>15</v>
      </c>
      <c r="D1018" s="78" t="s">
        <v>858</v>
      </c>
      <c r="E1018" s="40">
        <v>16.829999999999998</v>
      </c>
      <c r="F1018" s="40">
        <f>E1018*E1016</f>
        <v>9.0882000000000005</v>
      </c>
    </row>
    <row r="1019" spans="1:6" x14ac:dyDescent="0.25">
      <c r="A1019" s="20" t="s">
        <v>1514</v>
      </c>
      <c r="B1019" s="21" t="s">
        <v>1235</v>
      </c>
      <c r="C1019" s="22" t="s">
        <v>1236</v>
      </c>
      <c r="D1019" s="79" t="s">
        <v>861</v>
      </c>
      <c r="E1019" s="41">
        <v>1.4</v>
      </c>
      <c r="F1019" s="41">
        <f>E1019*E1016</f>
        <v>0.75600000000000001</v>
      </c>
    </row>
    <row r="1020" spans="1:6" x14ac:dyDescent="0.25">
      <c r="A1020" s="20" t="s">
        <v>1515</v>
      </c>
      <c r="B1020" s="21" t="s">
        <v>1238</v>
      </c>
      <c r="C1020" s="22" t="s">
        <v>1239</v>
      </c>
      <c r="D1020" s="79" t="s">
        <v>861</v>
      </c>
      <c r="E1020" s="41">
        <v>3.47</v>
      </c>
      <c r="F1020" s="41">
        <f>E1020*E1016</f>
        <v>1.8738000000000001</v>
      </c>
    </row>
    <row r="1021" spans="1:6" x14ac:dyDescent="0.25">
      <c r="A1021" s="20" t="s">
        <v>1516</v>
      </c>
      <c r="B1021" s="21" t="s">
        <v>1241</v>
      </c>
      <c r="C1021" s="22" t="s">
        <v>1242</v>
      </c>
      <c r="D1021" s="79" t="s">
        <v>861</v>
      </c>
      <c r="E1021" s="41">
        <v>10.1</v>
      </c>
      <c r="F1021" s="41">
        <f>E1021*E1016</f>
        <v>5.4539999999999997</v>
      </c>
    </row>
    <row r="1022" spans="1:6" ht="33.75" x14ac:dyDescent="0.25">
      <c r="A1022" s="20" t="s">
        <v>1517</v>
      </c>
      <c r="B1022" s="21" t="s">
        <v>875</v>
      </c>
      <c r="C1022" s="22" t="s">
        <v>314</v>
      </c>
      <c r="D1022" s="79" t="s">
        <v>861</v>
      </c>
      <c r="E1022" s="41">
        <v>0.03</v>
      </c>
      <c r="F1022" s="41">
        <f>E1022*E1016</f>
        <v>1.6199999999999999E-2</v>
      </c>
    </row>
    <row r="1023" spans="1:6" x14ac:dyDescent="0.25">
      <c r="A1023" s="20" t="s">
        <v>1518</v>
      </c>
      <c r="B1023" s="21" t="s">
        <v>1245</v>
      </c>
      <c r="C1023" s="22" t="s">
        <v>1246</v>
      </c>
      <c r="D1023" s="79" t="s">
        <v>861</v>
      </c>
      <c r="E1023" s="41">
        <v>0.39</v>
      </c>
      <c r="F1023" s="41">
        <f>E1023*E1016</f>
        <v>0.21060000000000001</v>
      </c>
    </row>
    <row r="1024" spans="1:6" x14ac:dyDescent="0.25">
      <c r="A1024" s="20" t="s">
        <v>1519</v>
      </c>
      <c r="B1024" s="21" t="s">
        <v>1248</v>
      </c>
      <c r="C1024" s="22" t="s">
        <v>1249</v>
      </c>
      <c r="D1024" s="79" t="s">
        <v>861</v>
      </c>
      <c r="E1024" s="41">
        <v>2.8</v>
      </c>
      <c r="F1024" s="41">
        <f>E1024*E1016</f>
        <v>1.512</v>
      </c>
    </row>
    <row r="1025" spans="1:6" ht="22.5" x14ac:dyDescent="0.25">
      <c r="A1025" s="20" t="s">
        <v>1520</v>
      </c>
      <c r="B1025" s="21" t="s">
        <v>966</v>
      </c>
      <c r="C1025" s="22" t="s">
        <v>190</v>
      </c>
      <c r="D1025" s="79" t="s">
        <v>861</v>
      </c>
      <c r="E1025" s="41">
        <v>0.04</v>
      </c>
      <c r="F1025" s="41">
        <f>E1025*E1016</f>
        <v>2.1600000000000001E-2</v>
      </c>
    </row>
    <row r="1026" spans="1:6" ht="22.5" x14ac:dyDescent="0.25">
      <c r="A1026" s="23" t="s">
        <v>1521</v>
      </c>
      <c r="B1026" s="24" t="s">
        <v>1252</v>
      </c>
      <c r="C1026" s="25" t="s">
        <v>1253</v>
      </c>
      <c r="D1026" s="80" t="s">
        <v>60</v>
      </c>
      <c r="E1026" s="42">
        <v>96.6</v>
      </c>
      <c r="F1026" s="42">
        <f>E1026*E1016</f>
        <v>52.164000000000001</v>
      </c>
    </row>
    <row r="1027" spans="1:6" x14ac:dyDescent="0.25">
      <c r="A1027" s="23" t="s">
        <v>1522</v>
      </c>
      <c r="B1027" s="24" t="s">
        <v>1255</v>
      </c>
      <c r="C1027" s="25" t="s">
        <v>1256</v>
      </c>
      <c r="D1027" s="80" t="s">
        <v>60</v>
      </c>
      <c r="E1027" s="42">
        <v>1.0800000000000001E-2</v>
      </c>
      <c r="F1027" s="42">
        <f>E1027*E1016</f>
        <v>5.8320000000000004E-3</v>
      </c>
    </row>
    <row r="1028" spans="1:6" ht="22.5" x14ac:dyDescent="0.25">
      <c r="A1028" s="23" t="s">
        <v>1523</v>
      </c>
      <c r="B1028" s="24" t="s">
        <v>892</v>
      </c>
      <c r="C1028" s="25" t="s">
        <v>893</v>
      </c>
      <c r="D1028" s="80" t="s">
        <v>60</v>
      </c>
      <c r="E1028" s="42">
        <v>6.1999999999999998E-3</v>
      </c>
      <c r="F1028" s="42">
        <f>E1028*E1016</f>
        <v>3.3480000000000003E-3</v>
      </c>
    </row>
    <row r="1029" spans="1:6" ht="33.75" x14ac:dyDescent="0.25">
      <c r="A1029" s="23" t="s">
        <v>1524</v>
      </c>
      <c r="B1029" s="24" t="s">
        <v>1259</v>
      </c>
      <c r="C1029" s="25" t="s">
        <v>1260</v>
      </c>
      <c r="D1029" s="80" t="s">
        <v>54</v>
      </c>
      <c r="E1029" s="42">
        <v>0.15</v>
      </c>
      <c r="F1029" s="42">
        <f>E1029*E1016</f>
        <v>8.1000000000000003E-2</v>
      </c>
    </row>
    <row r="1030" spans="1:6" ht="31.5" x14ac:dyDescent="0.25">
      <c r="A1030" s="15" t="s">
        <v>1525</v>
      </c>
      <c r="B1030" s="82" t="s">
        <v>1526</v>
      </c>
      <c r="C1030" s="82" t="s">
        <v>1527</v>
      </c>
      <c r="D1030" s="77" t="s">
        <v>604</v>
      </c>
      <c r="E1030" s="125">
        <v>0.54</v>
      </c>
      <c r="F1030" s="125"/>
    </row>
    <row r="1031" spans="1:6" x14ac:dyDescent="0.25">
      <c r="A1031" s="17" t="s">
        <v>1528</v>
      </c>
      <c r="B1031" s="18" t="s">
        <v>8</v>
      </c>
      <c r="C1031" s="19" t="s">
        <v>35</v>
      </c>
      <c r="D1031" s="78" t="s">
        <v>858</v>
      </c>
      <c r="E1031" s="40">
        <v>0.18</v>
      </c>
      <c r="F1031" s="40">
        <f>E1031*E1030</f>
        <v>9.7200000000000009E-2</v>
      </c>
    </row>
    <row r="1032" spans="1:6" x14ac:dyDescent="0.25">
      <c r="A1032" s="20" t="s">
        <v>1529</v>
      </c>
      <c r="B1032" s="21" t="s">
        <v>1235</v>
      </c>
      <c r="C1032" s="22" t="s">
        <v>1236</v>
      </c>
      <c r="D1032" s="79" t="s">
        <v>861</v>
      </c>
      <c r="E1032" s="41">
        <v>0.36</v>
      </c>
      <c r="F1032" s="41">
        <f>E1032*E1030</f>
        <v>0.19440000000000002</v>
      </c>
    </row>
    <row r="1033" spans="1:6" ht="22.5" x14ac:dyDescent="0.25">
      <c r="A1033" s="23" t="s">
        <v>1530</v>
      </c>
      <c r="B1033" s="24" t="s">
        <v>1252</v>
      </c>
      <c r="C1033" s="25" t="s">
        <v>1253</v>
      </c>
      <c r="D1033" s="80" t="s">
        <v>60</v>
      </c>
      <c r="E1033" s="42">
        <v>24.2</v>
      </c>
      <c r="F1033" s="42">
        <f>E1033*E1030</f>
        <v>13.068</v>
      </c>
    </row>
    <row r="1034" spans="1:6" x14ac:dyDescent="0.25">
      <c r="A1034" s="23" t="s">
        <v>1531</v>
      </c>
      <c r="B1034" s="24" t="s">
        <v>1255</v>
      </c>
      <c r="C1034" s="25" t="s">
        <v>1256</v>
      </c>
      <c r="D1034" s="80" t="s">
        <v>60</v>
      </c>
      <c r="E1034" s="42">
        <v>2.8E-3</v>
      </c>
      <c r="F1034" s="42">
        <f>E1034*E1030</f>
        <v>1.5120000000000001E-3</v>
      </c>
    </row>
    <row r="1035" spans="1:6" ht="42" x14ac:dyDescent="0.25">
      <c r="A1035" s="15" t="s">
        <v>1532</v>
      </c>
      <c r="B1035" s="82" t="s">
        <v>1533</v>
      </c>
      <c r="C1035" s="82" t="s">
        <v>1534</v>
      </c>
      <c r="D1035" s="77" t="s">
        <v>604</v>
      </c>
      <c r="E1035" s="125">
        <v>0.54</v>
      </c>
      <c r="F1035" s="125"/>
    </row>
    <row r="1036" spans="1:6" x14ac:dyDescent="0.25">
      <c r="A1036" s="17" t="s">
        <v>1535</v>
      </c>
      <c r="B1036" s="18" t="s">
        <v>8</v>
      </c>
      <c r="C1036" s="19" t="s">
        <v>35</v>
      </c>
      <c r="D1036" s="78" t="s">
        <v>858</v>
      </c>
      <c r="E1036" s="40">
        <v>33.6</v>
      </c>
      <c r="F1036" s="40">
        <f>E1036*E1035</f>
        <v>18.144000000000002</v>
      </c>
    </row>
    <row r="1037" spans="1:6" x14ac:dyDescent="0.25">
      <c r="A1037" s="17" t="s">
        <v>1536</v>
      </c>
      <c r="B1037" s="18" t="s">
        <v>30</v>
      </c>
      <c r="C1037" s="19" t="s">
        <v>15</v>
      </c>
      <c r="D1037" s="78" t="s">
        <v>858</v>
      </c>
      <c r="E1037" s="40">
        <v>16.829999999999998</v>
      </c>
      <c r="F1037" s="40">
        <f>E1037*E1035</f>
        <v>9.0882000000000005</v>
      </c>
    </row>
    <row r="1038" spans="1:6" x14ac:dyDescent="0.25">
      <c r="A1038" s="20" t="s">
        <v>1537</v>
      </c>
      <c r="B1038" s="21" t="s">
        <v>1235</v>
      </c>
      <c r="C1038" s="22" t="s">
        <v>1236</v>
      </c>
      <c r="D1038" s="79" t="s">
        <v>861</v>
      </c>
      <c r="E1038" s="41">
        <v>1.4</v>
      </c>
      <c r="F1038" s="41">
        <f>E1038*E1035</f>
        <v>0.75600000000000001</v>
      </c>
    </row>
    <row r="1039" spans="1:6" x14ac:dyDescent="0.25">
      <c r="A1039" s="20" t="s">
        <v>1538</v>
      </c>
      <c r="B1039" s="21" t="s">
        <v>1238</v>
      </c>
      <c r="C1039" s="22" t="s">
        <v>1239</v>
      </c>
      <c r="D1039" s="79" t="s">
        <v>861</v>
      </c>
      <c r="E1039" s="41">
        <v>3.47</v>
      </c>
      <c r="F1039" s="41">
        <f>E1039*E1035</f>
        <v>1.8738000000000001</v>
      </c>
    </row>
    <row r="1040" spans="1:6" x14ac:dyDescent="0.25">
      <c r="A1040" s="20" t="s">
        <v>1539</v>
      </c>
      <c r="B1040" s="21" t="s">
        <v>1241</v>
      </c>
      <c r="C1040" s="22" t="s">
        <v>1242</v>
      </c>
      <c r="D1040" s="79" t="s">
        <v>861</v>
      </c>
      <c r="E1040" s="41">
        <v>10.1</v>
      </c>
      <c r="F1040" s="41">
        <f>E1040*E1035</f>
        <v>5.4539999999999997</v>
      </c>
    </row>
    <row r="1041" spans="1:6" ht="33.75" x14ac:dyDescent="0.25">
      <c r="A1041" s="20" t="s">
        <v>1540</v>
      </c>
      <c r="B1041" s="21" t="s">
        <v>875</v>
      </c>
      <c r="C1041" s="22" t="s">
        <v>314</v>
      </c>
      <c r="D1041" s="79" t="s">
        <v>861</v>
      </c>
      <c r="E1041" s="41">
        <v>0.03</v>
      </c>
      <c r="F1041" s="41">
        <f>E1041*E1035</f>
        <v>1.6199999999999999E-2</v>
      </c>
    </row>
    <row r="1042" spans="1:6" x14ac:dyDescent="0.25">
      <c r="A1042" s="20" t="s">
        <v>1541</v>
      </c>
      <c r="B1042" s="21" t="s">
        <v>1245</v>
      </c>
      <c r="C1042" s="22" t="s">
        <v>1246</v>
      </c>
      <c r="D1042" s="79" t="s">
        <v>861</v>
      </c>
      <c r="E1042" s="41">
        <v>0.39</v>
      </c>
      <c r="F1042" s="41">
        <f>E1042*E1035</f>
        <v>0.21060000000000001</v>
      </c>
    </row>
    <row r="1043" spans="1:6" x14ac:dyDescent="0.25">
      <c r="A1043" s="20" t="s">
        <v>1542</v>
      </c>
      <c r="B1043" s="21" t="s">
        <v>1248</v>
      </c>
      <c r="C1043" s="22" t="s">
        <v>1249</v>
      </c>
      <c r="D1043" s="79" t="s">
        <v>861</v>
      </c>
      <c r="E1043" s="41">
        <v>2.8</v>
      </c>
      <c r="F1043" s="41">
        <f>E1043*E1035</f>
        <v>1.512</v>
      </c>
    </row>
    <row r="1044" spans="1:6" ht="22.5" x14ac:dyDescent="0.25">
      <c r="A1044" s="20" t="s">
        <v>1543</v>
      </c>
      <c r="B1044" s="21" t="s">
        <v>966</v>
      </c>
      <c r="C1044" s="22" t="s">
        <v>190</v>
      </c>
      <c r="D1044" s="79" t="s">
        <v>861</v>
      </c>
      <c r="E1044" s="41">
        <v>0.04</v>
      </c>
      <c r="F1044" s="41">
        <f>E1044*E1035</f>
        <v>2.1600000000000001E-2</v>
      </c>
    </row>
    <row r="1045" spans="1:6" ht="22.5" x14ac:dyDescent="0.25">
      <c r="A1045" s="23" t="s">
        <v>1544</v>
      </c>
      <c r="B1045" s="24" t="s">
        <v>1463</v>
      </c>
      <c r="C1045" s="25" t="s">
        <v>1464</v>
      </c>
      <c r="D1045" s="80" t="s">
        <v>60</v>
      </c>
      <c r="E1045" s="42">
        <v>95.8</v>
      </c>
      <c r="F1045" s="42">
        <f>E1045*E1035</f>
        <v>51.731999999999999</v>
      </c>
    </row>
    <row r="1046" spans="1:6" x14ac:dyDescent="0.25">
      <c r="A1046" s="23" t="s">
        <v>1545</v>
      </c>
      <c r="B1046" s="24" t="s">
        <v>1255</v>
      </c>
      <c r="C1046" s="25" t="s">
        <v>1256</v>
      </c>
      <c r="D1046" s="80" t="s">
        <v>60</v>
      </c>
      <c r="E1046" s="42">
        <v>1.0800000000000001E-2</v>
      </c>
      <c r="F1046" s="42">
        <f>E1046*E1035</f>
        <v>5.8320000000000004E-3</v>
      </c>
    </row>
    <row r="1047" spans="1:6" ht="22.5" x14ac:dyDescent="0.25">
      <c r="A1047" s="23" t="s">
        <v>1546</v>
      </c>
      <c r="B1047" s="24" t="s">
        <v>892</v>
      </c>
      <c r="C1047" s="25" t="s">
        <v>893</v>
      </c>
      <c r="D1047" s="80" t="s">
        <v>60</v>
      </c>
      <c r="E1047" s="42">
        <v>6.1999999999999998E-3</v>
      </c>
      <c r="F1047" s="42">
        <f>E1047*E1035</f>
        <v>3.3480000000000003E-3</v>
      </c>
    </row>
    <row r="1048" spans="1:6" ht="33.75" x14ac:dyDescent="0.25">
      <c r="A1048" s="23" t="s">
        <v>1547</v>
      </c>
      <c r="B1048" s="24" t="s">
        <v>1259</v>
      </c>
      <c r="C1048" s="25" t="s">
        <v>1260</v>
      </c>
      <c r="D1048" s="80" t="s">
        <v>54</v>
      </c>
      <c r="E1048" s="42">
        <v>0.15</v>
      </c>
      <c r="F1048" s="42">
        <f>E1048*E1035</f>
        <v>8.1000000000000003E-2</v>
      </c>
    </row>
    <row r="1049" spans="1:6" ht="21" x14ac:dyDescent="0.25">
      <c r="A1049" s="15" t="s">
        <v>1548</v>
      </c>
      <c r="B1049" s="82" t="s">
        <v>1549</v>
      </c>
      <c r="C1049" s="82" t="s">
        <v>1550</v>
      </c>
      <c r="D1049" s="77" t="s">
        <v>604</v>
      </c>
      <c r="E1049" s="125">
        <v>0.54</v>
      </c>
      <c r="F1049" s="125"/>
    </row>
    <row r="1050" spans="1:6" x14ac:dyDescent="0.25">
      <c r="A1050" s="17" t="s">
        <v>1551</v>
      </c>
      <c r="B1050" s="18" t="s">
        <v>8</v>
      </c>
      <c r="C1050" s="19" t="s">
        <v>35</v>
      </c>
      <c r="D1050" s="78" t="s">
        <v>858</v>
      </c>
      <c r="E1050" s="40">
        <v>0.18</v>
      </c>
      <c r="F1050" s="40">
        <f>E1050*E1049</f>
        <v>9.7200000000000009E-2</v>
      </c>
    </row>
    <row r="1051" spans="1:6" x14ac:dyDescent="0.25">
      <c r="A1051" s="20" t="s">
        <v>1552</v>
      </c>
      <c r="B1051" s="21" t="s">
        <v>1235</v>
      </c>
      <c r="C1051" s="22" t="s">
        <v>1236</v>
      </c>
      <c r="D1051" s="79" t="s">
        <v>861</v>
      </c>
      <c r="E1051" s="41">
        <v>0.34</v>
      </c>
      <c r="F1051" s="41">
        <f>E1051*E1049</f>
        <v>0.18360000000000001</v>
      </c>
    </row>
    <row r="1052" spans="1:6" ht="22.5" x14ac:dyDescent="0.25">
      <c r="A1052" s="23" t="s">
        <v>1553</v>
      </c>
      <c r="B1052" s="24" t="s">
        <v>1463</v>
      </c>
      <c r="C1052" s="25" t="s">
        <v>1464</v>
      </c>
      <c r="D1052" s="80" t="s">
        <v>60</v>
      </c>
      <c r="E1052" s="42">
        <v>24</v>
      </c>
      <c r="F1052" s="42">
        <f>E1052*E1049</f>
        <v>12.96</v>
      </c>
    </row>
    <row r="1053" spans="1:6" x14ac:dyDescent="0.25">
      <c r="A1053" s="23" t="s">
        <v>1554</v>
      </c>
      <c r="B1053" s="24" t="s">
        <v>1255</v>
      </c>
      <c r="C1053" s="25" t="s">
        <v>1256</v>
      </c>
      <c r="D1053" s="80" t="s">
        <v>60</v>
      </c>
      <c r="E1053" s="42">
        <v>2.8E-3</v>
      </c>
      <c r="F1053" s="42">
        <f>E1053*E1049</f>
        <v>1.5120000000000001E-3</v>
      </c>
    </row>
    <row r="1054" spans="1:6" ht="63" x14ac:dyDescent="0.25">
      <c r="A1054" s="15" t="s">
        <v>1555</v>
      </c>
      <c r="B1054" s="82" t="s">
        <v>1556</v>
      </c>
      <c r="C1054" s="82" t="s">
        <v>1557</v>
      </c>
      <c r="D1054" s="77" t="s">
        <v>604</v>
      </c>
      <c r="E1054" s="125">
        <v>0.54</v>
      </c>
      <c r="F1054" s="125"/>
    </row>
    <row r="1055" spans="1:6" x14ac:dyDescent="0.25">
      <c r="A1055" s="17" t="s">
        <v>1558</v>
      </c>
      <c r="B1055" s="18" t="s">
        <v>8</v>
      </c>
      <c r="C1055" s="19" t="s">
        <v>35</v>
      </c>
      <c r="D1055" s="78" t="s">
        <v>858</v>
      </c>
      <c r="E1055" s="40">
        <v>33.08</v>
      </c>
      <c r="F1055" s="40">
        <f>E1055*E1054</f>
        <v>17.863199999999999</v>
      </c>
    </row>
    <row r="1056" spans="1:6" x14ac:dyDescent="0.25">
      <c r="A1056" s="17" t="s">
        <v>1559</v>
      </c>
      <c r="B1056" s="18" t="s">
        <v>30</v>
      </c>
      <c r="C1056" s="19" t="s">
        <v>15</v>
      </c>
      <c r="D1056" s="78" t="s">
        <v>858</v>
      </c>
      <c r="E1056" s="40">
        <v>34.76</v>
      </c>
      <c r="F1056" s="40">
        <f>E1056*E1054</f>
        <v>18.770399999999999</v>
      </c>
    </row>
    <row r="1057" spans="1:6" ht="22.5" x14ac:dyDescent="0.25">
      <c r="A1057" s="20" t="s">
        <v>1560</v>
      </c>
      <c r="B1057" s="21" t="s">
        <v>1561</v>
      </c>
      <c r="C1057" s="22" t="s">
        <v>76</v>
      </c>
      <c r="D1057" s="79" t="s">
        <v>861</v>
      </c>
      <c r="E1057" s="41">
        <v>13</v>
      </c>
      <c r="F1057" s="41">
        <f>E1057*E1054</f>
        <v>7.0200000000000005</v>
      </c>
    </row>
    <row r="1058" spans="1:6" x14ac:dyDescent="0.25">
      <c r="A1058" s="20" t="s">
        <v>1562</v>
      </c>
      <c r="B1058" s="21" t="s">
        <v>1563</v>
      </c>
      <c r="C1058" s="22" t="s">
        <v>1564</v>
      </c>
      <c r="D1058" s="79" t="s">
        <v>861</v>
      </c>
      <c r="E1058" s="41">
        <v>4.63</v>
      </c>
      <c r="F1058" s="41">
        <f>E1058*E1054</f>
        <v>2.5002</v>
      </c>
    </row>
    <row r="1059" spans="1:6" x14ac:dyDescent="0.25">
      <c r="A1059" s="20" t="s">
        <v>1565</v>
      </c>
      <c r="B1059" s="21" t="s">
        <v>1566</v>
      </c>
      <c r="C1059" s="22" t="s">
        <v>155</v>
      </c>
      <c r="D1059" s="79" t="s">
        <v>861</v>
      </c>
      <c r="E1059" s="41">
        <v>6.55</v>
      </c>
      <c r="F1059" s="41">
        <f>E1059*E1054</f>
        <v>3.5369999999999999</v>
      </c>
    </row>
    <row r="1060" spans="1:6" x14ac:dyDescent="0.25">
      <c r="A1060" s="20" t="s">
        <v>1567</v>
      </c>
      <c r="B1060" s="21" t="s">
        <v>1238</v>
      </c>
      <c r="C1060" s="22" t="s">
        <v>1239</v>
      </c>
      <c r="D1060" s="79" t="s">
        <v>861</v>
      </c>
      <c r="E1060" s="41">
        <v>1.98</v>
      </c>
      <c r="F1060" s="41">
        <f>E1060*E1054</f>
        <v>1.0692000000000002</v>
      </c>
    </row>
    <row r="1061" spans="1:6" x14ac:dyDescent="0.25">
      <c r="A1061" s="20" t="s">
        <v>1568</v>
      </c>
      <c r="B1061" s="21" t="s">
        <v>1241</v>
      </c>
      <c r="C1061" s="22" t="s">
        <v>1242</v>
      </c>
      <c r="D1061" s="79" t="s">
        <v>861</v>
      </c>
      <c r="E1061" s="41">
        <v>2.37</v>
      </c>
      <c r="F1061" s="41">
        <f>E1061*E1054</f>
        <v>1.2798</v>
      </c>
    </row>
    <row r="1062" spans="1:6" x14ac:dyDescent="0.25">
      <c r="A1062" s="20" t="s">
        <v>1569</v>
      </c>
      <c r="B1062" s="21" t="s">
        <v>1570</v>
      </c>
      <c r="C1062" s="22" t="s">
        <v>1571</v>
      </c>
      <c r="D1062" s="79" t="s">
        <v>861</v>
      </c>
      <c r="E1062" s="41">
        <v>0.53</v>
      </c>
      <c r="F1062" s="41">
        <f>E1062*E1054</f>
        <v>0.28620000000000001</v>
      </c>
    </row>
    <row r="1063" spans="1:6" x14ac:dyDescent="0.25">
      <c r="A1063" s="20" t="s">
        <v>1572</v>
      </c>
      <c r="B1063" s="21" t="s">
        <v>1245</v>
      </c>
      <c r="C1063" s="22" t="s">
        <v>1246</v>
      </c>
      <c r="D1063" s="79" t="s">
        <v>861</v>
      </c>
      <c r="E1063" s="41">
        <v>1</v>
      </c>
      <c r="F1063" s="41">
        <f>E1063*E1054</f>
        <v>0.54</v>
      </c>
    </row>
    <row r="1064" spans="1:6" ht="22.5" x14ac:dyDescent="0.25">
      <c r="A1064" s="20" t="s">
        <v>1573</v>
      </c>
      <c r="B1064" s="21" t="s">
        <v>966</v>
      </c>
      <c r="C1064" s="22" t="s">
        <v>190</v>
      </c>
      <c r="D1064" s="79" t="s">
        <v>861</v>
      </c>
      <c r="E1064" s="41">
        <v>0.04</v>
      </c>
      <c r="F1064" s="41">
        <f>E1064*E1054</f>
        <v>2.1600000000000001E-2</v>
      </c>
    </row>
    <row r="1065" spans="1:6" x14ac:dyDescent="0.25">
      <c r="A1065" s="23" t="s">
        <v>1574</v>
      </c>
      <c r="B1065" s="24" t="s">
        <v>1062</v>
      </c>
      <c r="C1065" s="25" t="s">
        <v>194</v>
      </c>
      <c r="D1065" s="80" t="s">
        <v>54</v>
      </c>
      <c r="E1065" s="42">
        <v>2.68</v>
      </c>
      <c r="F1065" s="42">
        <f>E1065*E1054</f>
        <v>1.4472000000000003</v>
      </c>
    </row>
    <row r="1066" spans="1:6" x14ac:dyDescent="0.25">
      <c r="A1066" s="23" t="s">
        <v>1575</v>
      </c>
      <c r="B1066" s="24" t="s">
        <v>1576</v>
      </c>
      <c r="C1066" s="25" t="s">
        <v>1577</v>
      </c>
      <c r="D1066" s="80" t="s">
        <v>54</v>
      </c>
      <c r="E1066" s="42">
        <v>99.2</v>
      </c>
      <c r="F1066" s="42">
        <f>E1066*E1054</f>
        <v>53.568000000000005</v>
      </c>
    </row>
    <row r="1067" spans="1:6" ht="22.5" x14ac:dyDescent="0.25">
      <c r="A1067" s="23" t="s">
        <v>1578</v>
      </c>
      <c r="B1067" s="24" t="s">
        <v>892</v>
      </c>
      <c r="C1067" s="25" t="s">
        <v>893</v>
      </c>
      <c r="D1067" s="80" t="s">
        <v>60</v>
      </c>
      <c r="E1067" s="42">
        <v>6.13E-3</v>
      </c>
      <c r="F1067" s="42">
        <f>E1067*E1054</f>
        <v>3.3102000000000001E-3</v>
      </c>
    </row>
    <row r="1068" spans="1:6" ht="33.75" x14ac:dyDescent="0.25">
      <c r="A1068" s="23" t="s">
        <v>1579</v>
      </c>
      <c r="B1068" s="24" t="s">
        <v>1259</v>
      </c>
      <c r="C1068" s="25" t="s">
        <v>1260</v>
      </c>
      <c r="D1068" s="80" t="s">
        <v>54</v>
      </c>
      <c r="E1068" s="42">
        <v>0.15</v>
      </c>
      <c r="F1068" s="42">
        <f>E1068*E1054</f>
        <v>8.1000000000000003E-2</v>
      </c>
    </row>
    <row r="1069" spans="1:6" ht="21" x14ac:dyDescent="0.25">
      <c r="A1069" s="15" t="s">
        <v>1580</v>
      </c>
      <c r="B1069" s="82" t="s">
        <v>1581</v>
      </c>
      <c r="C1069" s="82" t="s">
        <v>1582</v>
      </c>
      <c r="D1069" s="77" t="s">
        <v>60</v>
      </c>
      <c r="E1069" s="125">
        <v>5.4539999999999997</v>
      </c>
      <c r="F1069" s="125"/>
    </row>
    <row r="1070" spans="1:6" ht="42" x14ac:dyDescent="0.25">
      <c r="A1070" s="15" t="s">
        <v>1583</v>
      </c>
      <c r="B1070" s="82" t="s">
        <v>1584</v>
      </c>
      <c r="C1070" s="82" t="s">
        <v>1585</v>
      </c>
      <c r="D1070" s="77" t="s">
        <v>604</v>
      </c>
      <c r="E1070" s="125">
        <v>0.52</v>
      </c>
      <c r="F1070" s="125"/>
    </row>
    <row r="1071" spans="1:6" x14ac:dyDescent="0.25">
      <c r="A1071" s="17" t="s">
        <v>1586</v>
      </c>
      <c r="B1071" s="18" t="s">
        <v>8</v>
      </c>
      <c r="C1071" s="19" t="s">
        <v>35</v>
      </c>
      <c r="D1071" s="78" t="s">
        <v>858</v>
      </c>
      <c r="E1071" s="40">
        <v>41.6</v>
      </c>
      <c r="F1071" s="40">
        <f>E1071*E1070</f>
        <v>21.632000000000001</v>
      </c>
    </row>
    <row r="1072" spans="1:6" x14ac:dyDescent="0.25">
      <c r="A1072" s="17" t="s">
        <v>1587</v>
      </c>
      <c r="B1072" s="18" t="s">
        <v>30</v>
      </c>
      <c r="C1072" s="19" t="s">
        <v>15</v>
      </c>
      <c r="D1072" s="78" t="s">
        <v>858</v>
      </c>
      <c r="E1072" s="40">
        <v>24.19</v>
      </c>
      <c r="F1072" s="40">
        <f>E1072*E1070</f>
        <v>12.578800000000001</v>
      </c>
    </row>
    <row r="1073" spans="1:6" ht="22.5" x14ac:dyDescent="0.25">
      <c r="A1073" s="20" t="s">
        <v>1588</v>
      </c>
      <c r="B1073" s="21" t="s">
        <v>1561</v>
      </c>
      <c r="C1073" s="22" t="s">
        <v>76</v>
      </c>
      <c r="D1073" s="79" t="s">
        <v>861</v>
      </c>
      <c r="E1073" s="41">
        <v>2.3199999999999998</v>
      </c>
      <c r="F1073" s="41">
        <f>E1073*E1070</f>
        <v>1.2063999999999999</v>
      </c>
    </row>
    <row r="1074" spans="1:6" x14ac:dyDescent="0.25">
      <c r="A1074" s="20" t="s">
        <v>1589</v>
      </c>
      <c r="B1074" s="21" t="s">
        <v>1566</v>
      </c>
      <c r="C1074" s="22" t="s">
        <v>155</v>
      </c>
      <c r="D1074" s="79" t="s">
        <v>861</v>
      </c>
      <c r="E1074" s="41">
        <v>5.92</v>
      </c>
      <c r="F1074" s="41">
        <f>E1074*E1070</f>
        <v>3.0784000000000002</v>
      </c>
    </row>
    <row r="1075" spans="1:6" x14ac:dyDescent="0.25">
      <c r="A1075" s="20" t="s">
        <v>1590</v>
      </c>
      <c r="B1075" s="21" t="s">
        <v>1238</v>
      </c>
      <c r="C1075" s="22" t="s">
        <v>1239</v>
      </c>
      <c r="D1075" s="79" t="s">
        <v>861</v>
      </c>
      <c r="E1075" s="41">
        <v>7.28</v>
      </c>
      <c r="F1075" s="41">
        <f>E1075*E1070</f>
        <v>3.7856000000000001</v>
      </c>
    </row>
    <row r="1076" spans="1:6" x14ac:dyDescent="0.25">
      <c r="A1076" s="20" t="s">
        <v>1591</v>
      </c>
      <c r="B1076" s="21" t="s">
        <v>1241</v>
      </c>
      <c r="C1076" s="22" t="s">
        <v>1242</v>
      </c>
      <c r="D1076" s="79" t="s">
        <v>861</v>
      </c>
      <c r="E1076" s="41">
        <v>6.72</v>
      </c>
      <c r="F1076" s="41">
        <f>E1076*E1070</f>
        <v>3.4944000000000002</v>
      </c>
    </row>
    <row r="1077" spans="1:6" ht="22.5" x14ac:dyDescent="0.25">
      <c r="A1077" s="20" t="s">
        <v>1592</v>
      </c>
      <c r="B1077" s="21" t="s">
        <v>1593</v>
      </c>
      <c r="C1077" s="22" t="s">
        <v>1594</v>
      </c>
      <c r="D1077" s="79" t="s">
        <v>861</v>
      </c>
      <c r="E1077" s="41">
        <v>0.52</v>
      </c>
      <c r="F1077" s="41">
        <f>E1077*E1070</f>
        <v>0.27040000000000003</v>
      </c>
    </row>
    <row r="1078" spans="1:6" x14ac:dyDescent="0.25">
      <c r="A1078" s="20" t="s">
        <v>1595</v>
      </c>
      <c r="B1078" s="21" t="s">
        <v>1245</v>
      </c>
      <c r="C1078" s="22" t="s">
        <v>1246</v>
      </c>
      <c r="D1078" s="79" t="s">
        <v>861</v>
      </c>
      <c r="E1078" s="41">
        <v>1.43</v>
      </c>
      <c r="F1078" s="41">
        <f>E1078*E1070</f>
        <v>0.74360000000000004</v>
      </c>
    </row>
    <row r="1079" spans="1:6" x14ac:dyDescent="0.25">
      <c r="A1079" s="23" t="s">
        <v>1596</v>
      </c>
      <c r="B1079" s="24" t="s">
        <v>1062</v>
      </c>
      <c r="C1079" s="25" t="s">
        <v>194</v>
      </c>
      <c r="D1079" s="80" t="s">
        <v>54</v>
      </c>
      <c r="E1079" s="42">
        <v>10.5</v>
      </c>
      <c r="F1079" s="42">
        <f>E1079*E1070</f>
        <v>5.46</v>
      </c>
    </row>
    <row r="1080" spans="1:6" ht="22.5" x14ac:dyDescent="0.25">
      <c r="A1080" s="23" t="s">
        <v>1597</v>
      </c>
      <c r="B1080" s="24" t="s">
        <v>1598</v>
      </c>
      <c r="C1080" s="25" t="s">
        <v>1599</v>
      </c>
      <c r="D1080" s="80" t="s">
        <v>54</v>
      </c>
      <c r="E1080" s="42">
        <v>152</v>
      </c>
      <c r="F1080" s="42">
        <f>E1080*E1070</f>
        <v>79.040000000000006</v>
      </c>
    </row>
    <row r="1081" spans="1:6" ht="31.5" x14ac:dyDescent="0.25">
      <c r="A1081" s="15" t="s">
        <v>1600</v>
      </c>
      <c r="B1081" s="82" t="s">
        <v>1601</v>
      </c>
      <c r="C1081" s="82" t="s">
        <v>1602</v>
      </c>
      <c r="D1081" s="77" t="s">
        <v>604</v>
      </c>
      <c r="E1081" s="125">
        <v>0.25</v>
      </c>
      <c r="F1081" s="125"/>
    </row>
    <row r="1082" spans="1:6" x14ac:dyDescent="0.25">
      <c r="A1082" s="17" t="s">
        <v>1603</v>
      </c>
      <c r="B1082" s="18" t="s">
        <v>8</v>
      </c>
      <c r="C1082" s="19" t="s">
        <v>35</v>
      </c>
      <c r="D1082" s="78" t="s">
        <v>858</v>
      </c>
      <c r="E1082" s="40">
        <v>62.399900000000002</v>
      </c>
      <c r="F1082" s="40">
        <f>E1082*E1081</f>
        <v>15.599975000000001</v>
      </c>
    </row>
    <row r="1083" spans="1:6" x14ac:dyDescent="0.25">
      <c r="A1083" s="17" t="s">
        <v>1604</v>
      </c>
      <c r="B1083" s="18" t="s">
        <v>30</v>
      </c>
      <c r="C1083" s="19" t="s">
        <v>15</v>
      </c>
      <c r="D1083" s="78" t="s">
        <v>858</v>
      </c>
      <c r="E1083" s="40">
        <v>36.284999999999997</v>
      </c>
      <c r="F1083" s="40">
        <f>E1083*E1081</f>
        <v>9.0712499999999991</v>
      </c>
    </row>
    <row r="1084" spans="1:6" ht="22.5" x14ac:dyDescent="0.25">
      <c r="A1084" s="20" t="s">
        <v>1605</v>
      </c>
      <c r="B1084" s="21" t="s">
        <v>1561</v>
      </c>
      <c r="C1084" s="22" t="s">
        <v>76</v>
      </c>
      <c r="D1084" s="79" t="s">
        <v>861</v>
      </c>
      <c r="E1084" s="41">
        <v>2.2545000000000002</v>
      </c>
      <c r="F1084" s="41">
        <f>E1084*E1081</f>
        <v>0.56362500000000004</v>
      </c>
    </row>
    <row r="1085" spans="1:6" x14ac:dyDescent="0.25">
      <c r="A1085" s="20" t="s">
        <v>1606</v>
      </c>
      <c r="B1085" s="21" t="s">
        <v>1566</v>
      </c>
      <c r="C1085" s="22" t="s">
        <v>155</v>
      </c>
      <c r="D1085" s="79" t="s">
        <v>861</v>
      </c>
      <c r="E1085" s="41">
        <v>8.8800000000000008</v>
      </c>
      <c r="F1085" s="41">
        <f>E1085*E1081</f>
        <v>2.2200000000000002</v>
      </c>
    </row>
    <row r="1086" spans="1:6" x14ac:dyDescent="0.25">
      <c r="A1086" s="20" t="s">
        <v>1607</v>
      </c>
      <c r="B1086" s="21" t="s">
        <v>1238</v>
      </c>
      <c r="C1086" s="22" t="s">
        <v>1239</v>
      </c>
      <c r="D1086" s="79" t="s">
        <v>861</v>
      </c>
      <c r="E1086" s="41">
        <v>10.92</v>
      </c>
      <c r="F1086" s="41">
        <f>E1086*E1081</f>
        <v>2.73</v>
      </c>
    </row>
    <row r="1087" spans="1:6" x14ac:dyDescent="0.25">
      <c r="A1087" s="20" t="s">
        <v>1608</v>
      </c>
      <c r="B1087" s="21" t="s">
        <v>1241</v>
      </c>
      <c r="C1087" s="22" t="s">
        <v>1242</v>
      </c>
      <c r="D1087" s="79" t="s">
        <v>861</v>
      </c>
      <c r="E1087" s="41">
        <v>10.08</v>
      </c>
      <c r="F1087" s="41">
        <f>E1087*E1081</f>
        <v>2.52</v>
      </c>
    </row>
    <row r="1088" spans="1:6" ht="22.5" x14ac:dyDescent="0.25">
      <c r="A1088" s="20" t="s">
        <v>1609</v>
      </c>
      <c r="B1088" s="21" t="s">
        <v>1593</v>
      </c>
      <c r="C1088" s="22" t="s">
        <v>1594</v>
      </c>
      <c r="D1088" s="79" t="s">
        <v>861</v>
      </c>
      <c r="E1088" s="41">
        <v>0.779999</v>
      </c>
      <c r="F1088" s="41">
        <f>E1088*E1081</f>
        <v>0.19499975</v>
      </c>
    </row>
    <row r="1089" spans="1:6" x14ac:dyDescent="0.25">
      <c r="A1089" s="20" t="s">
        <v>1610</v>
      </c>
      <c r="B1089" s="21" t="s">
        <v>1245</v>
      </c>
      <c r="C1089" s="22" t="s">
        <v>1246</v>
      </c>
      <c r="D1089" s="79" t="s">
        <v>861</v>
      </c>
      <c r="E1089" s="41">
        <v>2.145</v>
      </c>
      <c r="F1089" s="41">
        <f>E1089*E1081</f>
        <v>0.53625</v>
      </c>
    </row>
    <row r="1090" spans="1:6" x14ac:dyDescent="0.25">
      <c r="A1090" s="23" t="s">
        <v>1611</v>
      </c>
      <c r="B1090" s="24" t="s">
        <v>1062</v>
      </c>
      <c r="C1090" s="25" t="s">
        <v>194</v>
      </c>
      <c r="D1090" s="80" t="s">
        <v>54</v>
      </c>
      <c r="E1090" s="42">
        <v>15.75</v>
      </c>
      <c r="F1090" s="42">
        <f>E1090*E1081</f>
        <v>3.9375</v>
      </c>
    </row>
    <row r="1091" spans="1:6" ht="22.5" x14ac:dyDescent="0.25">
      <c r="A1091" s="23" t="s">
        <v>1612</v>
      </c>
      <c r="B1091" s="24" t="s">
        <v>1598</v>
      </c>
      <c r="C1091" s="25" t="s">
        <v>1599</v>
      </c>
      <c r="D1091" s="80" t="s">
        <v>54</v>
      </c>
      <c r="E1091" s="42">
        <v>228.00059999999999</v>
      </c>
      <c r="F1091" s="42">
        <f>E1091*E1081</f>
        <v>57.000149999999998</v>
      </c>
    </row>
    <row r="1092" spans="1:6" ht="21" x14ac:dyDescent="0.25">
      <c r="A1092" s="15" t="s">
        <v>1613</v>
      </c>
      <c r="B1092" s="82" t="s">
        <v>1614</v>
      </c>
      <c r="C1092" s="82" t="s">
        <v>1615</v>
      </c>
      <c r="D1092" s="77" t="s">
        <v>175</v>
      </c>
      <c r="E1092" s="125">
        <v>0.36</v>
      </c>
      <c r="F1092" s="125"/>
    </row>
    <row r="1093" spans="1:6" x14ac:dyDescent="0.25">
      <c r="A1093" s="17" t="s">
        <v>1616</v>
      </c>
      <c r="B1093" s="18" t="s">
        <v>8</v>
      </c>
      <c r="C1093" s="19" t="s">
        <v>35</v>
      </c>
      <c r="D1093" s="78" t="s">
        <v>858</v>
      </c>
      <c r="E1093" s="40">
        <v>85.6</v>
      </c>
      <c r="F1093" s="40">
        <f>E1093*E1092</f>
        <v>30.815999999999995</v>
      </c>
    </row>
    <row r="1094" spans="1:6" x14ac:dyDescent="0.25">
      <c r="A1094" s="17" t="s">
        <v>1617</v>
      </c>
      <c r="B1094" s="18" t="s">
        <v>30</v>
      </c>
      <c r="C1094" s="19" t="s">
        <v>15</v>
      </c>
      <c r="D1094" s="78" t="s">
        <v>858</v>
      </c>
      <c r="E1094" s="40">
        <v>14.85</v>
      </c>
      <c r="F1094" s="40">
        <f>E1094*E1092</f>
        <v>5.3460000000000001</v>
      </c>
    </row>
    <row r="1095" spans="1:6" ht="33.75" x14ac:dyDescent="0.25">
      <c r="A1095" s="20" t="s">
        <v>1618</v>
      </c>
      <c r="B1095" s="21" t="s">
        <v>1124</v>
      </c>
      <c r="C1095" s="22" t="s">
        <v>1125</v>
      </c>
      <c r="D1095" s="79" t="s">
        <v>861</v>
      </c>
      <c r="E1095" s="41">
        <v>11.45</v>
      </c>
      <c r="F1095" s="41">
        <f>E1095*E1092</f>
        <v>4.1219999999999999</v>
      </c>
    </row>
    <row r="1096" spans="1:6" ht="33.75" x14ac:dyDescent="0.25">
      <c r="A1096" s="20" t="s">
        <v>1619</v>
      </c>
      <c r="B1096" s="21" t="s">
        <v>875</v>
      </c>
      <c r="C1096" s="22" t="s">
        <v>314</v>
      </c>
      <c r="D1096" s="79" t="s">
        <v>861</v>
      </c>
      <c r="E1096" s="41">
        <v>10</v>
      </c>
      <c r="F1096" s="41">
        <f>E1096*E1092</f>
        <v>3.5999999999999996</v>
      </c>
    </row>
    <row r="1097" spans="1:6" ht="22.5" x14ac:dyDescent="0.25">
      <c r="A1097" s="20" t="s">
        <v>1620</v>
      </c>
      <c r="B1097" s="21" t="s">
        <v>1621</v>
      </c>
      <c r="C1097" s="22" t="s">
        <v>1622</v>
      </c>
      <c r="D1097" s="79" t="s">
        <v>861</v>
      </c>
      <c r="E1097" s="41">
        <v>3.02</v>
      </c>
      <c r="F1097" s="41">
        <f>E1097*E1092</f>
        <v>1.0871999999999999</v>
      </c>
    </row>
    <row r="1098" spans="1:6" ht="22.5" x14ac:dyDescent="0.25">
      <c r="A1098" s="20" t="s">
        <v>1623</v>
      </c>
      <c r="B1098" s="21" t="s">
        <v>966</v>
      </c>
      <c r="C1098" s="22" t="s">
        <v>190</v>
      </c>
      <c r="D1098" s="79" t="s">
        <v>861</v>
      </c>
      <c r="E1098" s="41">
        <v>1.83</v>
      </c>
      <c r="F1098" s="41">
        <f>E1098*E1092</f>
        <v>0.65880000000000005</v>
      </c>
    </row>
    <row r="1099" spans="1:6" ht="22.5" x14ac:dyDescent="0.25">
      <c r="A1099" s="23" t="s">
        <v>1624</v>
      </c>
      <c r="B1099" s="24" t="s">
        <v>1625</v>
      </c>
      <c r="C1099" s="25" t="s">
        <v>1626</v>
      </c>
      <c r="D1099" s="80" t="s">
        <v>54</v>
      </c>
      <c r="E1099" s="42">
        <v>1.6</v>
      </c>
      <c r="F1099" s="42">
        <f>E1099*E1092</f>
        <v>0.57599999999999996</v>
      </c>
    </row>
    <row r="1100" spans="1:6" x14ac:dyDescent="0.25">
      <c r="A1100" s="23" t="s">
        <v>1627</v>
      </c>
      <c r="B1100" s="24" t="s">
        <v>1628</v>
      </c>
      <c r="C1100" s="25" t="s">
        <v>1629</v>
      </c>
      <c r="D1100" s="80" t="s">
        <v>60</v>
      </c>
      <c r="E1100" s="42">
        <v>4.4999999999999998E-2</v>
      </c>
      <c r="F1100" s="42">
        <f>E1100*E1092</f>
        <v>1.6199999999999999E-2</v>
      </c>
    </row>
    <row r="1101" spans="1:6" x14ac:dyDescent="0.25">
      <c r="A1101" s="23" t="s">
        <v>1630</v>
      </c>
      <c r="B1101" s="24" t="s">
        <v>1631</v>
      </c>
      <c r="C1101" s="25" t="s">
        <v>1632</v>
      </c>
      <c r="D1101" s="80" t="s">
        <v>60</v>
      </c>
      <c r="E1101" s="42">
        <v>7.7999999999999996E-3</v>
      </c>
      <c r="F1101" s="42">
        <f>E1101*E1092</f>
        <v>2.8079999999999997E-3</v>
      </c>
    </row>
    <row r="1102" spans="1:6" ht="22.5" x14ac:dyDescent="0.25">
      <c r="A1102" s="23" t="s">
        <v>1633</v>
      </c>
      <c r="B1102" s="24" t="s">
        <v>1634</v>
      </c>
      <c r="C1102" s="25" t="s">
        <v>1635</v>
      </c>
      <c r="D1102" s="80" t="s">
        <v>604</v>
      </c>
      <c r="E1102" s="42">
        <v>1E-4</v>
      </c>
      <c r="F1102" s="42">
        <f>E1102*E1092</f>
        <v>3.6000000000000001E-5</v>
      </c>
    </row>
    <row r="1103" spans="1:6" x14ac:dyDescent="0.25">
      <c r="A1103" s="23" t="s">
        <v>1636</v>
      </c>
      <c r="B1103" s="24" t="s">
        <v>1110</v>
      </c>
      <c r="C1103" s="25" t="s">
        <v>405</v>
      </c>
      <c r="D1103" s="80" t="s">
        <v>60</v>
      </c>
      <c r="E1103" s="42">
        <v>6.4999999999999997E-3</v>
      </c>
      <c r="F1103" s="42">
        <f>E1103*E1092</f>
        <v>2.3399999999999996E-3</v>
      </c>
    </row>
    <row r="1104" spans="1:6" ht="22.5" x14ac:dyDescent="0.25">
      <c r="A1104" s="23" t="s">
        <v>1637</v>
      </c>
      <c r="B1104" s="24" t="s">
        <v>1638</v>
      </c>
      <c r="C1104" s="25" t="s">
        <v>1639</v>
      </c>
      <c r="D1104" s="80" t="s">
        <v>60</v>
      </c>
      <c r="E1104" s="42">
        <v>8.3999999999999995E-3</v>
      </c>
      <c r="F1104" s="42">
        <f>E1104*E1092</f>
        <v>3.0239999999999998E-3</v>
      </c>
    </row>
    <row r="1105" spans="1:6" ht="31.5" x14ac:dyDescent="0.25">
      <c r="A1105" s="15" t="s">
        <v>1640</v>
      </c>
      <c r="B1105" s="82" t="s">
        <v>1641</v>
      </c>
      <c r="C1105" s="82" t="s">
        <v>1642</v>
      </c>
      <c r="D1105" s="77" t="s">
        <v>164</v>
      </c>
      <c r="E1105" s="125">
        <v>12</v>
      </c>
      <c r="F1105" s="125"/>
    </row>
    <row r="1106" spans="1:6" ht="21" x14ac:dyDescent="0.25">
      <c r="A1106" s="15" t="s">
        <v>1643</v>
      </c>
      <c r="B1106" s="82" t="s">
        <v>1644</v>
      </c>
      <c r="C1106" s="82" t="s">
        <v>1645</v>
      </c>
      <c r="D1106" s="77" t="s">
        <v>1646</v>
      </c>
      <c r="E1106" s="125">
        <v>0.02</v>
      </c>
      <c r="F1106" s="125"/>
    </row>
    <row r="1107" spans="1:6" x14ac:dyDescent="0.25">
      <c r="A1107" s="17" t="s">
        <v>1647</v>
      </c>
      <c r="B1107" s="18" t="s">
        <v>8</v>
      </c>
      <c r="C1107" s="19" t="s">
        <v>35</v>
      </c>
      <c r="D1107" s="78" t="s">
        <v>858</v>
      </c>
      <c r="E1107" s="40">
        <v>320</v>
      </c>
      <c r="F1107" s="40">
        <f>E1107*E1106</f>
        <v>6.4</v>
      </c>
    </row>
    <row r="1108" spans="1:6" x14ac:dyDescent="0.25">
      <c r="A1108" s="17" t="s">
        <v>1648</v>
      </c>
      <c r="B1108" s="18" t="s">
        <v>30</v>
      </c>
      <c r="C1108" s="19" t="s">
        <v>15</v>
      </c>
      <c r="D1108" s="78" t="s">
        <v>858</v>
      </c>
      <c r="E1108" s="40">
        <v>14.53</v>
      </c>
      <c r="F1108" s="40">
        <f>E1108*E1106</f>
        <v>0.29059999999999997</v>
      </c>
    </row>
    <row r="1109" spans="1:6" ht="33.75" x14ac:dyDescent="0.25">
      <c r="A1109" s="20" t="s">
        <v>1649</v>
      </c>
      <c r="B1109" s="21" t="s">
        <v>875</v>
      </c>
      <c r="C1109" s="22" t="s">
        <v>314</v>
      </c>
      <c r="D1109" s="79" t="s">
        <v>861</v>
      </c>
      <c r="E1109" s="41">
        <v>1.52</v>
      </c>
      <c r="F1109" s="41">
        <f>E1109*E1106</f>
        <v>3.04E-2</v>
      </c>
    </row>
    <row r="1110" spans="1:6" ht="22.5" x14ac:dyDescent="0.25">
      <c r="A1110" s="20" t="s">
        <v>1650</v>
      </c>
      <c r="B1110" s="21" t="s">
        <v>1651</v>
      </c>
      <c r="C1110" s="22" t="s">
        <v>1652</v>
      </c>
      <c r="D1110" s="79" t="s">
        <v>861</v>
      </c>
      <c r="E1110" s="41">
        <v>11</v>
      </c>
      <c r="F1110" s="41">
        <f>E1110*E1106</f>
        <v>0.22</v>
      </c>
    </row>
    <row r="1111" spans="1:6" ht="22.5" x14ac:dyDescent="0.25">
      <c r="A1111" s="20" t="s">
        <v>1653</v>
      </c>
      <c r="B1111" s="21" t="s">
        <v>966</v>
      </c>
      <c r="C1111" s="22" t="s">
        <v>190</v>
      </c>
      <c r="D1111" s="79" t="s">
        <v>861</v>
      </c>
      <c r="E1111" s="41">
        <v>2.0099999999999998</v>
      </c>
      <c r="F1111" s="41">
        <f>E1111*E1106</f>
        <v>4.02E-2</v>
      </c>
    </row>
    <row r="1112" spans="1:6" ht="22.5" x14ac:dyDescent="0.25">
      <c r="A1112" s="23" t="s">
        <v>1654</v>
      </c>
      <c r="B1112" s="24" t="s">
        <v>1655</v>
      </c>
      <c r="C1112" s="25" t="s">
        <v>1656</v>
      </c>
      <c r="D1112" s="80" t="s">
        <v>60</v>
      </c>
      <c r="E1112" s="42">
        <v>4.8000000000000001E-2</v>
      </c>
      <c r="F1112" s="42">
        <f>E1112*E1106</f>
        <v>9.6000000000000002E-4</v>
      </c>
    </row>
    <row r="1113" spans="1:6" ht="22.5" x14ac:dyDescent="0.25">
      <c r="A1113" s="23" t="s">
        <v>1657</v>
      </c>
      <c r="B1113" s="24" t="s">
        <v>1658</v>
      </c>
      <c r="C1113" s="25" t="s">
        <v>1659</v>
      </c>
      <c r="D1113" s="80" t="s">
        <v>60</v>
      </c>
      <c r="E1113" s="42">
        <v>1.9349999999999999E-2</v>
      </c>
      <c r="F1113" s="42">
        <f>E1113*E1106</f>
        <v>3.8699999999999997E-4</v>
      </c>
    </row>
    <row r="1114" spans="1:6" x14ac:dyDescent="0.25">
      <c r="A1114" s="23" t="s">
        <v>1660</v>
      </c>
      <c r="B1114" s="24" t="s">
        <v>1628</v>
      </c>
      <c r="C1114" s="25" t="s">
        <v>1629</v>
      </c>
      <c r="D1114" s="80" t="s">
        <v>60</v>
      </c>
      <c r="E1114" s="42">
        <v>5.62E-3</v>
      </c>
      <c r="F1114" s="42">
        <f>E1114*E1106</f>
        <v>1.1240000000000001E-4</v>
      </c>
    </row>
    <row r="1115" spans="1:6" ht="22.5" x14ac:dyDescent="0.25">
      <c r="A1115" s="23" t="s">
        <v>1661</v>
      </c>
      <c r="B1115" s="24" t="s">
        <v>1662</v>
      </c>
      <c r="C1115" s="25" t="s">
        <v>1663</v>
      </c>
      <c r="D1115" s="80" t="s">
        <v>60</v>
      </c>
      <c r="E1115" s="42">
        <v>3.3800000000000002E-3</v>
      </c>
      <c r="F1115" s="42">
        <f>E1115*E1106</f>
        <v>6.7600000000000003E-5</v>
      </c>
    </row>
    <row r="1116" spans="1:6" x14ac:dyDescent="0.25">
      <c r="A1116" s="23" t="s">
        <v>1664</v>
      </c>
      <c r="B1116" s="24" t="s">
        <v>1665</v>
      </c>
      <c r="C1116" s="25" t="s">
        <v>1666</v>
      </c>
      <c r="D1116" s="80" t="s">
        <v>164</v>
      </c>
      <c r="E1116" s="42">
        <v>100</v>
      </c>
      <c r="F1116" s="42">
        <f>E1116*E1106</f>
        <v>2</v>
      </c>
    </row>
    <row r="1117" spans="1:6" x14ac:dyDescent="0.25">
      <c r="A1117" s="23" t="s">
        <v>1667</v>
      </c>
      <c r="B1117" s="24" t="s">
        <v>1668</v>
      </c>
      <c r="C1117" s="25" t="s">
        <v>1669</v>
      </c>
      <c r="D1117" s="80" t="s">
        <v>60</v>
      </c>
      <c r="E1117" s="42">
        <v>4.5999999999999996</v>
      </c>
      <c r="F1117" s="42">
        <f>E1117*E1106</f>
        <v>9.1999999999999998E-2</v>
      </c>
    </row>
    <row r="1118" spans="1:6" ht="21" x14ac:dyDescent="0.25">
      <c r="A1118" s="15" t="s">
        <v>1670</v>
      </c>
      <c r="B1118" s="82" t="s">
        <v>1671</v>
      </c>
      <c r="C1118" s="82" t="s">
        <v>1672</v>
      </c>
      <c r="D1118" s="77" t="s">
        <v>107</v>
      </c>
      <c r="E1118" s="125">
        <v>0.01</v>
      </c>
      <c r="F1118" s="125"/>
    </row>
    <row r="1119" spans="1:6" x14ac:dyDescent="0.25">
      <c r="A1119" s="17" t="s">
        <v>1673</v>
      </c>
      <c r="B1119" s="18" t="s">
        <v>8</v>
      </c>
      <c r="C1119" s="19" t="s">
        <v>35</v>
      </c>
      <c r="D1119" s="78" t="s">
        <v>858</v>
      </c>
      <c r="E1119" s="40">
        <v>319</v>
      </c>
      <c r="F1119" s="40">
        <f>E1119*E1118</f>
        <v>3.19</v>
      </c>
    </row>
    <row r="1120" spans="1:6" x14ac:dyDescent="0.25">
      <c r="A1120" s="17" t="s">
        <v>1674</v>
      </c>
      <c r="B1120" s="18" t="s">
        <v>30</v>
      </c>
      <c r="C1120" s="19" t="s">
        <v>15</v>
      </c>
      <c r="D1120" s="78" t="s">
        <v>858</v>
      </c>
      <c r="E1120" s="40">
        <v>49.99</v>
      </c>
      <c r="F1120" s="40">
        <f>E1120*E1118</f>
        <v>0.49990000000000001</v>
      </c>
    </row>
    <row r="1121" spans="1:6" x14ac:dyDescent="0.25">
      <c r="A1121" s="20" t="s">
        <v>1675</v>
      </c>
      <c r="B1121" s="21" t="s">
        <v>870</v>
      </c>
      <c r="C1121" s="22" t="s">
        <v>871</v>
      </c>
      <c r="D1121" s="79" t="s">
        <v>861</v>
      </c>
      <c r="E1121" s="41">
        <v>58.65</v>
      </c>
      <c r="F1121" s="41">
        <f>E1121*E1118</f>
        <v>0.58650000000000002</v>
      </c>
    </row>
    <row r="1122" spans="1:6" x14ac:dyDescent="0.25">
      <c r="A1122" s="20" t="s">
        <v>1676</v>
      </c>
      <c r="B1122" s="21" t="s">
        <v>1025</v>
      </c>
      <c r="C1122" s="22" t="s">
        <v>171</v>
      </c>
      <c r="D1122" s="79" t="s">
        <v>861</v>
      </c>
      <c r="E1122" s="41">
        <v>3.55</v>
      </c>
      <c r="F1122" s="41">
        <f>E1122*E1118</f>
        <v>3.5499999999999997E-2</v>
      </c>
    </row>
    <row r="1123" spans="1:6" ht="33.75" x14ac:dyDescent="0.25">
      <c r="A1123" s="20" t="s">
        <v>1677</v>
      </c>
      <c r="B1123" s="21" t="s">
        <v>875</v>
      </c>
      <c r="C1123" s="22" t="s">
        <v>314</v>
      </c>
      <c r="D1123" s="79" t="s">
        <v>861</v>
      </c>
      <c r="E1123" s="41">
        <v>0.03</v>
      </c>
      <c r="F1123" s="41">
        <f>E1123*E1118</f>
        <v>2.9999999999999997E-4</v>
      </c>
    </row>
    <row r="1124" spans="1:6" ht="45" x14ac:dyDescent="0.25">
      <c r="A1124" s="20" t="s">
        <v>1678</v>
      </c>
      <c r="B1124" s="21" t="s">
        <v>1027</v>
      </c>
      <c r="C1124" s="22" t="s">
        <v>1028</v>
      </c>
      <c r="D1124" s="79" t="s">
        <v>861</v>
      </c>
      <c r="E1124" s="41">
        <v>49.91</v>
      </c>
      <c r="F1124" s="41">
        <f>E1124*E1118</f>
        <v>0.49909999999999999</v>
      </c>
    </row>
    <row r="1125" spans="1:6" ht="33.75" x14ac:dyDescent="0.25">
      <c r="A1125" s="20" t="s">
        <v>1679</v>
      </c>
      <c r="B1125" s="21" t="s">
        <v>877</v>
      </c>
      <c r="C1125" s="22" t="s">
        <v>878</v>
      </c>
      <c r="D1125" s="79" t="s">
        <v>861</v>
      </c>
      <c r="E1125" s="41">
        <v>2.3199999999999998</v>
      </c>
      <c r="F1125" s="41">
        <f>E1125*E1118</f>
        <v>2.3199999999999998E-2</v>
      </c>
    </row>
    <row r="1126" spans="1:6" x14ac:dyDescent="0.25">
      <c r="A1126" s="20" t="s">
        <v>1680</v>
      </c>
      <c r="B1126" s="21" t="s">
        <v>880</v>
      </c>
      <c r="C1126" s="22" t="s">
        <v>881</v>
      </c>
      <c r="D1126" s="79" t="s">
        <v>861</v>
      </c>
      <c r="E1126" s="41">
        <v>1.58</v>
      </c>
      <c r="F1126" s="41">
        <f>E1126*E1118</f>
        <v>1.5800000000000002E-2</v>
      </c>
    </row>
    <row r="1127" spans="1:6" ht="22.5" x14ac:dyDescent="0.25">
      <c r="A1127" s="20" t="s">
        <v>1681</v>
      </c>
      <c r="B1127" s="21" t="s">
        <v>883</v>
      </c>
      <c r="C1127" s="22" t="s">
        <v>190</v>
      </c>
      <c r="D1127" s="79" t="s">
        <v>861</v>
      </c>
      <c r="E1127" s="41">
        <v>0.05</v>
      </c>
      <c r="F1127" s="41">
        <f>E1127*E1118</f>
        <v>5.0000000000000001E-4</v>
      </c>
    </row>
    <row r="1128" spans="1:6" ht="22.5" x14ac:dyDescent="0.25">
      <c r="A1128" s="23" t="s">
        <v>1682</v>
      </c>
      <c r="B1128" s="24" t="s">
        <v>1683</v>
      </c>
      <c r="C1128" s="25" t="s">
        <v>1684</v>
      </c>
      <c r="D1128" s="80" t="s">
        <v>54</v>
      </c>
      <c r="E1128" s="42">
        <v>102</v>
      </c>
      <c r="F1128" s="42">
        <f>E1128*E1118</f>
        <v>1.02</v>
      </c>
    </row>
    <row r="1129" spans="1:6" x14ac:dyDescent="0.25">
      <c r="A1129" s="23" t="s">
        <v>1685</v>
      </c>
      <c r="B1129" s="24" t="s">
        <v>888</v>
      </c>
      <c r="C1129" s="25" t="s">
        <v>194</v>
      </c>
      <c r="D1129" s="80" t="s">
        <v>54</v>
      </c>
      <c r="E1129" s="42">
        <v>60</v>
      </c>
      <c r="F1129" s="42">
        <f>E1129*E1118</f>
        <v>0.6</v>
      </c>
    </row>
    <row r="1130" spans="1:6" x14ac:dyDescent="0.25">
      <c r="A1130" s="23" t="s">
        <v>1686</v>
      </c>
      <c r="B1130" s="24" t="s">
        <v>1031</v>
      </c>
      <c r="C1130" s="25" t="s">
        <v>1032</v>
      </c>
      <c r="D1130" s="80" t="s">
        <v>60</v>
      </c>
      <c r="E1130" s="42">
        <v>2.5000000000000001E-2</v>
      </c>
      <c r="F1130" s="42">
        <f>E1130*E1118</f>
        <v>2.5000000000000001E-4</v>
      </c>
    </row>
    <row r="1131" spans="1:6" x14ac:dyDescent="0.25">
      <c r="A1131" s="23" t="s">
        <v>1687</v>
      </c>
      <c r="B1131" s="24" t="s">
        <v>890</v>
      </c>
      <c r="C1131" s="25" t="s">
        <v>250</v>
      </c>
      <c r="D1131" s="80" t="s">
        <v>60</v>
      </c>
      <c r="E1131" s="42">
        <v>0.10199999999999999</v>
      </c>
      <c r="F1131" s="42">
        <f>E1131*E1118</f>
        <v>1.0199999999999999E-3</v>
      </c>
    </row>
    <row r="1132" spans="1:6" ht="22.5" x14ac:dyDescent="0.25">
      <c r="A1132" s="23" t="s">
        <v>1688</v>
      </c>
      <c r="B1132" s="24" t="s">
        <v>892</v>
      </c>
      <c r="C1132" s="25" t="s">
        <v>893</v>
      </c>
      <c r="D1132" s="80" t="s">
        <v>60</v>
      </c>
      <c r="E1132" s="42">
        <v>5.1499999999999997E-2</v>
      </c>
      <c r="F1132" s="42">
        <f>E1132*E1118</f>
        <v>5.1499999999999994E-4</v>
      </c>
    </row>
    <row r="1133" spans="1:6" x14ac:dyDescent="0.25">
      <c r="A1133" s="23" t="s">
        <v>1689</v>
      </c>
      <c r="B1133" s="24" t="s">
        <v>895</v>
      </c>
      <c r="C1133" s="25" t="s">
        <v>896</v>
      </c>
      <c r="D1133" s="80" t="s">
        <v>367</v>
      </c>
      <c r="E1133" s="42">
        <v>64.900000000000006</v>
      </c>
      <c r="F1133" s="42">
        <f>E1133*E1118</f>
        <v>0.64900000000000002</v>
      </c>
    </row>
    <row r="1134" spans="1:6" ht="22.5" x14ac:dyDescent="0.25">
      <c r="A1134" s="23" t="s">
        <v>1690</v>
      </c>
      <c r="B1134" s="24" t="s">
        <v>901</v>
      </c>
      <c r="C1134" s="25" t="s">
        <v>902</v>
      </c>
      <c r="D1134" s="80" t="s">
        <v>361</v>
      </c>
      <c r="E1134" s="42">
        <v>4.72</v>
      </c>
      <c r="F1134" s="42">
        <f>E1134*E1118</f>
        <v>4.7199999999999999E-2</v>
      </c>
    </row>
    <row r="1135" spans="1:6" ht="33.75" x14ac:dyDescent="0.25">
      <c r="A1135" s="23" t="s">
        <v>1691</v>
      </c>
      <c r="B1135" s="24" t="s">
        <v>904</v>
      </c>
      <c r="C1135" s="25" t="s">
        <v>905</v>
      </c>
      <c r="D1135" s="80" t="s">
        <v>54</v>
      </c>
      <c r="E1135" s="42">
        <v>0.97</v>
      </c>
      <c r="F1135" s="42">
        <f>E1135*E1118</f>
        <v>9.7000000000000003E-3</v>
      </c>
    </row>
    <row r="1136" spans="1:6" ht="33.75" x14ac:dyDescent="0.25">
      <c r="A1136" s="23" t="s">
        <v>1692</v>
      </c>
      <c r="B1136" s="24" t="s">
        <v>1693</v>
      </c>
      <c r="C1136" s="25" t="s">
        <v>1694</v>
      </c>
      <c r="D1136" s="80" t="s">
        <v>54</v>
      </c>
      <c r="E1136" s="42">
        <v>1.1399999999999999</v>
      </c>
      <c r="F1136" s="42">
        <f>E1136*E1118</f>
        <v>1.1399999999999999E-2</v>
      </c>
    </row>
    <row r="1137" spans="1:6" ht="33.75" x14ac:dyDescent="0.25">
      <c r="A1137" s="23" t="s">
        <v>1695</v>
      </c>
      <c r="B1137" s="24" t="s">
        <v>907</v>
      </c>
      <c r="C1137" s="25" t="s">
        <v>908</v>
      </c>
      <c r="D1137" s="80" t="s">
        <v>54</v>
      </c>
      <c r="E1137" s="42">
        <v>1.37</v>
      </c>
      <c r="F1137" s="42">
        <f>E1137*E1118</f>
        <v>1.3700000000000002E-2</v>
      </c>
    </row>
    <row r="1138" spans="1:6" ht="33.75" x14ac:dyDescent="0.25">
      <c r="A1138" s="23" t="s">
        <v>1696</v>
      </c>
      <c r="B1138" s="24" t="s">
        <v>910</v>
      </c>
      <c r="C1138" s="25" t="s">
        <v>911</v>
      </c>
      <c r="D1138" s="80" t="s">
        <v>54</v>
      </c>
      <c r="E1138" s="42">
        <v>0.22</v>
      </c>
      <c r="F1138" s="42">
        <f>E1138*E1118</f>
        <v>2.2000000000000001E-3</v>
      </c>
    </row>
    <row r="1139" spans="1:6" ht="31.5" x14ac:dyDescent="0.25">
      <c r="A1139" s="15" t="s">
        <v>1697</v>
      </c>
      <c r="B1139" s="82" t="s">
        <v>1698</v>
      </c>
      <c r="C1139" s="82" t="s">
        <v>1699</v>
      </c>
      <c r="D1139" s="77" t="s">
        <v>60</v>
      </c>
      <c r="E1139" s="125">
        <v>3.3000000000000002E-2</v>
      </c>
      <c r="F1139" s="125"/>
    </row>
    <row r="1140" spans="1:6" x14ac:dyDescent="0.25">
      <c r="A1140" s="17" t="s">
        <v>1700</v>
      </c>
      <c r="B1140" s="18" t="s">
        <v>8</v>
      </c>
      <c r="C1140" s="19" t="s">
        <v>35</v>
      </c>
      <c r="D1140" s="78" t="s">
        <v>858</v>
      </c>
      <c r="E1140" s="40">
        <v>48.4</v>
      </c>
      <c r="F1140" s="40">
        <f>E1140*E1139</f>
        <v>1.5972</v>
      </c>
    </row>
    <row r="1141" spans="1:6" ht="22.5" x14ac:dyDescent="0.25">
      <c r="A1141" s="23" t="s">
        <v>1701</v>
      </c>
      <c r="B1141" s="24" t="s">
        <v>1702</v>
      </c>
      <c r="C1141" s="25" t="s">
        <v>1703</v>
      </c>
      <c r="D1141" s="80" t="s">
        <v>60</v>
      </c>
      <c r="E1141" s="42">
        <v>1</v>
      </c>
      <c r="F1141" s="42">
        <f>E1141*E1139</f>
        <v>3.3000000000000002E-2</v>
      </c>
    </row>
    <row r="1142" spans="1:6" x14ac:dyDescent="0.25">
      <c r="A1142" s="23" t="s">
        <v>1704</v>
      </c>
      <c r="B1142" s="24" t="s">
        <v>1705</v>
      </c>
      <c r="C1142" s="25" t="s">
        <v>401</v>
      </c>
      <c r="D1142" s="80" t="s">
        <v>60</v>
      </c>
      <c r="E1142" s="42">
        <v>3.0000000000000001E-3</v>
      </c>
      <c r="F1142" s="42">
        <f>E1142*E1139</f>
        <v>9.9000000000000008E-5</v>
      </c>
    </row>
    <row r="1143" spans="1:6" ht="36" customHeight="1" x14ac:dyDescent="0.25">
      <c r="A1143" s="6"/>
      <c r="B1143" s="103"/>
      <c r="C1143" s="103" t="s">
        <v>1755</v>
      </c>
      <c r="D1143" s="103"/>
      <c r="E1143" s="36"/>
      <c r="F1143" s="36"/>
    </row>
    <row r="1144" spans="1:6" ht="36" x14ac:dyDescent="0.25">
      <c r="A1144" s="27" t="s">
        <v>8</v>
      </c>
      <c r="B1144" s="27" t="s">
        <v>1707</v>
      </c>
      <c r="C1144" s="28" t="s">
        <v>1708</v>
      </c>
      <c r="D1144" s="83" t="s">
        <v>1646</v>
      </c>
      <c r="E1144" s="130" t="s">
        <v>140</v>
      </c>
      <c r="F1144" s="130"/>
    </row>
    <row r="1145" spans="1:6" x14ac:dyDescent="0.25">
      <c r="A1145" s="29" t="s">
        <v>13</v>
      </c>
      <c r="B1145" s="29" t="s">
        <v>34</v>
      </c>
      <c r="C1145" s="30" t="s">
        <v>35</v>
      </c>
      <c r="D1145" s="43" t="s">
        <v>16</v>
      </c>
      <c r="E1145" s="43" t="s">
        <v>1709</v>
      </c>
      <c r="F1145" s="43">
        <f>E1145*E1144</f>
        <v>0.29039999999999999</v>
      </c>
    </row>
    <row r="1146" spans="1:6" x14ac:dyDescent="0.25">
      <c r="A1146" s="29" t="s">
        <v>18</v>
      </c>
      <c r="B1146" s="29" t="s">
        <v>14</v>
      </c>
      <c r="C1146" s="30" t="s">
        <v>15</v>
      </c>
      <c r="D1146" s="43" t="s">
        <v>16</v>
      </c>
      <c r="E1146" s="43" t="s">
        <v>1711</v>
      </c>
      <c r="F1146" s="43">
        <f>E1146*E1144</f>
        <v>0.2384</v>
      </c>
    </row>
    <row r="1147" spans="1:6" x14ac:dyDescent="0.25">
      <c r="A1147" s="29" t="s">
        <v>759</v>
      </c>
      <c r="B1147" s="29" t="s">
        <v>1713</v>
      </c>
      <c r="C1147" s="30" t="s">
        <v>1714</v>
      </c>
      <c r="D1147" s="43" t="s">
        <v>21</v>
      </c>
      <c r="E1147" s="43" t="s">
        <v>1715</v>
      </c>
      <c r="F1147" s="43">
        <f>E1147*E1144</f>
        <v>6.7199999999999996E-2</v>
      </c>
    </row>
    <row r="1148" spans="1:6" ht="29.25" x14ac:dyDescent="0.25">
      <c r="A1148" s="29" t="s">
        <v>761</v>
      </c>
      <c r="B1148" s="29" t="s">
        <v>702</v>
      </c>
      <c r="C1148" s="30" t="s">
        <v>703</v>
      </c>
      <c r="D1148" s="43" t="s">
        <v>21</v>
      </c>
      <c r="E1148" s="43" t="s">
        <v>1717</v>
      </c>
      <c r="F1148" s="43">
        <f>E1148*E1144</f>
        <v>0.17120000000000002</v>
      </c>
    </row>
    <row r="1149" spans="1:6" ht="36" x14ac:dyDescent="0.25">
      <c r="A1149" s="27" t="s">
        <v>23</v>
      </c>
      <c r="B1149" s="27" t="s">
        <v>1719</v>
      </c>
      <c r="C1149" s="28" t="s">
        <v>1720</v>
      </c>
      <c r="D1149" s="83" t="s">
        <v>1646</v>
      </c>
      <c r="E1149" s="130" t="s">
        <v>1721</v>
      </c>
      <c r="F1149" s="130"/>
    </row>
    <row r="1150" spans="1:6" x14ac:dyDescent="0.25">
      <c r="A1150" s="29" t="s">
        <v>26</v>
      </c>
      <c r="B1150" s="29" t="s">
        <v>34</v>
      </c>
      <c r="C1150" s="30" t="s">
        <v>35</v>
      </c>
      <c r="D1150" s="43" t="s">
        <v>16</v>
      </c>
      <c r="E1150" s="43" t="s">
        <v>1722</v>
      </c>
      <c r="F1150" s="43">
        <f>E1150*E1149</f>
        <v>0.45100000000000001</v>
      </c>
    </row>
    <row r="1151" spans="1:6" x14ac:dyDescent="0.25">
      <c r="A1151" s="29" t="s">
        <v>29</v>
      </c>
      <c r="B1151" s="29" t="s">
        <v>14</v>
      </c>
      <c r="C1151" s="30" t="s">
        <v>15</v>
      </c>
      <c r="D1151" s="43" t="s">
        <v>16</v>
      </c>
      <c r="E1151" s="43" t="s">
        <v>1724</v>
      </c>
      <c r="F1151" s="43">
        <f>E1151*E1149</f>
        <v>0.3695</v>
      </c>
    </row>
    <row r="1152" spans="1:6" x14ac:dyDescent="0.25">
      <c r="A1152" s="29" t="s">
        <v>789</v>
      </c>
      <c r="B1152" s="29" t="s">
        <v>1713</v>
      </c>
      <c r="C1152" s="30" t="s">
        <v>1714</v>
      </c>
      <c r="D1152" s="43" t="s">
        <v>21</v>
      </c>
      <c r="E1152" s="43" t="s">
        <v>1726</v>
      </c>
      <c r="F1152" s="43">
        <f>E1152*E1149</f>
        <v>0.10349999999999999</v>
      </c>
    </row>
    <row r="1153" spans="1:7" ht="29.25" x14ac:dyDescent="0.25">
      <c r="A1153" s="29" t="s">
        <v>790</v>
      </c>
      <c r="B1153" s="29" t="s">
        <v>702</v>
      </c>
      <c r="C1153" s="30" t="s">
        <v>703</v>
      </c>
      <c r="D1153" s="43" t="s">
        <v>21</v>
      </c>
      <c r="E1153" s="43" t="s">
        <v>362</v>
      </c>
      <c r="F1153" s="43">
        <f>E1153*E1149</f>
        <v>0.26600000000000001</v>
      </c>
    </row>
    <row r="1154" spans="1:7" ht="36" x14ac:dyDescent="0.25">
      <c r="A1154" s="27" t="s">
        <v>30</v>
      </c>
      <c r="B1154" s="27" t="s">
        <v>1729</v>
      </c>
      <c r="C1154" s="28" t="s">
        <v>1730</v>
      </c>
      <c r="D1154" s="83" t="s">
        <v>1646</v>
      </c>
      <c r="E1154" s="130" t="s">
        <v>559</v>
      </c>
      <c r="F1154" s="130"/>
    </row>
    <row r="1155" spans="1:7" x14ac:dyDescent="0.25">
      <c r="A1155" s="29" t="s">
        <v>33</v>
      </c>
      <c r="B1155" s="29" t="s">
        <v>34</v>
      </c>
      <c r="C1155" s="30" t="s">
        <v>35</v>
      </c>
      <c r="D1155" s="43" t="s">
        <v>16</v>
      </c>
      <c r="E1155" s="43" t="s">
        <v>1731</v>
      </c>
      <c r="F1155" s="43">
        <f>E1155*E1154</f>
        <v>4.8575999999999997</v>
      </c>
    </row>
    <row r="1156" spans="1:7" x14ac:dyDescent="0.25">
      <c r="A1156" s="29" t="s">
        <v>38</v>
      </c>
      <c r="B1156" s="29" t="s">
        <v>14</v>
      </c>
      <c r="C1156" s="30" t="s">
        <v>15</v>
      </c>
      <c r="D1156" s="43" t="s">
        <v>16</v>
      </c>
      <c r="E1156" s="43" t="s">
        <v>1733</v>
      </c>
      <c r="F1156" s="43">
        <f>E1156*E1154</f>
        <v>3.8816000000000002</v>
      </c>
    </row>
    <row r="1157" spans="1:7" x14ac:dyDescent="0.25">
      <c r="A1157" s="29" t="s">
        <v>41</v>
      </c>
      <c r="B1157" s="29" t="s">
        <v>1713</v>
      </c>
      <c r="C1157" s="30" t="s">
        <v>1714</v>
      </c>
      <c r="D1157" s="43" t="s">
        <v>21</v>
      </c>
      <c r="E1157" s="43" t="s">
        <v>1735</v>
      </c>
      <c r="F1157" s="43">
        <f>E1157*E1154</f>
        <v>1.1008</v>
      </c>
    </row>
    <row r="1158" spans="1:7" ht="29.25" x14ac:dyDescent="0.25">
      <c r="A1158" s="29" t="s">
        <v>46</v>
      </c>
      <c r="B1158" s="29" t="s">
        <v>702</v>
      </c>
      <c r="C1158" s="30" t="s">
        <v>703</v>
      </c>
      <c r="D1158" s="43" t="s">
        <v>21</v>
      </c>
      <c r="E1158" s="43" t="s">
        <v>1737</v>
      </c>
      <c r="F1158" s="43">
        <f>E1158*E1154</f>
        <v>2.7807999999999997</v>
      </c>
    </row>
    <row r="1159" spans="1:7" ht="27" x14ac:dyDescent="0.25">
      <c r="A1159" s="27" t="s">
        <v>57</v>
      </c>
      <c r="B1159" s="27" t="s">
        <v>1739</v>
      </c>
      <c r="C1159" s="28" t="s">
        <v>1740</v>
      </c>
      <c r="D1159" s="83" t="s">
        <v>1741</v>
      </c>
      <c r="E1159" s="130" t="s">
        <v>140</v>
      </c>
      <c r="F1159" s="130"/>
    </row>
    <row r="1160" spans="1:7" x14ac:dyDescent="0.25">
      <c r="A1160" s="29" t="s">
        <v>62</v>
      </c>
      <c r="B1160" s="29" t="s">
        <v>14</v>
      </c>
      <c r="C1160" s="30" t="s">
        <v>15</v>
      </c>
      <c r="D1160" s="43" t="s">
        <v>16</v>
      </c>
      <c r="E1160" s="43" t="s">
        <v>1742</v>
      </c>
      <c r="F1160" s="43">
        <f>E1160*E1159</f>
        <v>3.04E-2</v>
      </c>
    </row>
    <row r="1161" spans="1:7" x14ac:dyDescent="0.25">
      <c r="A1161" s="29" t="s">
        <v>65</v>
      </c>
      <c r="B1161" s="29" t="s">
        <v>1713</v>
      </c>
      <c r="C1161" s="30" t="s">
        <v>1714</v>
      </c>
      <c r="D1161" s="43" t="s">
        <v>21</v>
      </c>
      <c r="E1161" s="43" t="s">
        <v>1742</v>
      </c>
      <c r="F1161" s="43">
        <f>E1161*E1159</f>
        <v>3.04E-2</v>
      </c>
    </row>
    <row r="1162" spans="1:7" ht="27" x14ac:dyDescent="0.25">
      <c r="A1162" s="27" t="s">
        <v>68</v>
      </c>
      <c r="B1162" s="27" t="s">
        <v>1744</v>
      </c>
      <c r="C1162" s="28" t="s">
        <v>1745</v>
      </c>
      <c r="D1162" s="83" t="s">
        <v>1741</v>
      </c>
      <c r="E1162" s="130" t="s">
        <v>1746</v>
      </c>
      <c r="F1162" s="130"/>
    </row>
    <row r="1163" spans="1:7" x14ac:dyDescent="0.25">
      <c r="A1163" s="29" t="s">
        <v>71</v>
      </c>
      <c r="B1163" s="29" t="s">
        <v>14</v>
      </c>
      <c r="C1163" s="30" t="s">
        <v>15</v>
      </c>
      <c r="D1163" s="43" t="s">
        <v>16</v>
      </c>
      <c r="E1163" s="43" t="s">
        <v>1747</v>
      </c>
      <c r="F1163" s="43">
        <f>E1163*E1162</f>
        <v>0.56979999999999997</v>
      </c>
    </row>
    <row r="1164" spans="1:7" x14ac:dyDescent="0.25">
      <c r="A1164" s="29" t="s">
        <v>74</v>
      </c>
      <c r="B1164" s="29" t="s">
        <v>1713</v>
      </c>
      <c r="C1164" s="30" t="s">
        <v>1714</v>
      </c>
      <c r="D1164" s="43" t="s">
        <v>21</v>
      </c>
      <c r="E1164" s="43" t="s">
        <v>1747</v>
      </c>
      <c r="F1164" s="43">
        <f>E1164*E1162</f>
        <v>0.56979999999999997</v>
      </c>
    </row>
    <row r="1165" spans="1:7" ht="18" x14ac:dyDescent="0.25">
      <c r="A1165" s="27" t="s">
        <v>80</v>
      </c>
      <c r="B1165" s="27" t="s">
        <v>1749</v>
      </c>
      <c r="C1165" s="28" t="s">
        <v>1750</v>
      </c>
      <c r="D1165" s="83" t="s">
        <v>1751</v>
      </c>
      <c r="E1165" s="130" t="s">
        <v>1752</v>
      </c>
      <c r="F1165" s="130"/>
    </row>
    <row r="1166" spans="1:7" x14ac:dyDescent="0.25">
      <c r="A1166" s="29" t="s">
        <v>84</v>
      </c>
      <c r="B1166" s="29" t="s">
        <v>14</v>
      </c>
      <c r="C1166" s="30" t="s">
        <v>15</v>
      </c>
      <c r="D1166" s="43" t="s">
        <v>16</v>
      </c>
      <c r="E1166" s="43" t="s">
        <v>1753</v>
      </c>
      <c r="F1166" s="43">
        <f>E1166*E1165</f>
        <v>0.95529999999999993</v>
      </c>
    </row>
    <row r="1167" spans="1:7" ht="29.25" x14ac:dyDescent="0.25">
      <c r="A1167" s="29" t="s">
        <v>87</v>
      </c>
      <c r="B1167" s="29" t="s">
        <v>42</v>
      </c>
      <c r="C1167" s="30" t="s">
        <v>43</v>
      </c>
      <c r="D1167" s="43" t="s">
        <v>21</v>
      </c>
      <c r="E1167" s="43" t="s">
        <v>1753</v>
      </c>
      <c r="F1167" s="43">
        <f>E1167*E1165</f>
        <v>0.95529999999999993</v>
      </c>
      <c r="G1167" s="31"/>
    </row>
    <row r="1168" spans="1:7" x14ac:dyDescent="0.25">
      <c r="D1168"/>
      <c r="E1168"/>
      <c r="F1168"/>
    </row>
    <row r="1169" spans="1:6" x14ac:dyDescent="0.25">
      <c r="A1169" s="31"/>
      <c r="B1169" s="52"/>
      <c r="D1169"/>
      <c r="E1169"/>
      <c r="F1169"/>
    </row>
    <row r="1170" spans="1:6" x14ac:dyDescent="0.25">
      <c r="A1170" s="31"/>
      <c r="B1170" s="52"/>
      <c r="D1170"/>
      <c r="E1170"/>
      <c r="F1170"/>
    </row>
    <row r="1171" spans="1:6" x14ac:dyDescent="0.25">
      <c r="A1171" s="31"/>
      <c r="B1171" s="52"/>
      <c r="D1171"/>
      <c r="E1171"/>
      <c r="F1171"/>
    </row>
    <row r="1172" spans="1:6" x14ac:dyDescent="0.25">
      <c r="A1172" s="31"/>
      <c r="B1172" s="52"/>
      <c r="D1172"/>
      <c r="E1172"/>
      <c r="F1172"/>
    </row>
    <row r="1173" spans="1:6" x14ac:dyDescent="0.25">
      <c r="A1173" s="31"/>
      <c r="B1173" s="52"/>
      <c r="D1173"/>
      <c r="E1173"/>
      <c r="F1173"/>
    </row>
    <row r="1174" spans="1:6" x14ac:dyDescent="0.25">
      <c r="A1174" s="31"/>
      <c r="B1174" s="52"/>
      <c r="D1174"/>
      <c r="E1174"/>
      <c r="F1174"/>
    </row>
    <row r="1175" spans="1:6" x14ac:dyDescent="0.25">
      <c r="A1175" s="31"/>
      <c r="B1175" s="52"/>
      <c r="D1175"/>
      <c r="E1175"/>
      <c r="F1175"/>
    </row>
    <row r="1176" spans="1:6" x14ac:dyDescent="0.25">
      <c r="A1176" s="31"/>
      <c r="B1176" s="52"/>
      <c r="D1176"/>
      <c r="E1176"/>
      <c r="F1176"/>
    </row>
    <row r="1177" spans="1:6" x14ac:dyDescent="0.25">
      <c r="A1177" s="31"/>
      <c r="B1177" s="52"/>
      <c r="D1177"/>
      <c r="E1177"/>
      <c r="F1177"/>
    </row>
    <row r="1178" spans="1:6" x14ac:dyDescent="0.25">
      <c r="A1178" s="31"/>
      <c r="B1178" s="52"/>
      <c r="D1178"/>
      <c r="E1178"/>
      <c r="F1178"/>
    </row>
    <row r="1179" spans="1:6" x14ac:dyDescent="0.25">
      <c r="A1179" s="31"/>
      <c r="B1179" s="52"/>
      <c r="D1179"/>
      <c r="E1179"/>
      <c r="F1179"/>
    </row>
  </sheetData>
  <mergeCells count="175">
    <mergeCell ref="E1162:F1162"/>
    <mergeCell ref="E1165:F1165"/>
    <mergeCell ref="E1139:F1139"/>
    <mergeCell ref="E1144:F1144"/>
    <mergeCell ref="E1149:F1149"/>
    <mergeCell ref="E1154:F1154"/>
    <mergeCell ref="E1159:F1159"/>
    <mergeCell ref="E1070:F1070"/>
    <mergeCell ref="E1081:F1081"/>
    <mergeCell ref="E1092:F1092"/>
    <mergeCell ref="E1105:F1105"/>
    <mergeCell ref="E1106:F1106"/>
    <mergeCell ref="E1118:F1118"/>
    <mergeCell ref="E1016:F1016"/>
    <mergeCell ref="E1030:F1030"/>
    <mergeCell ref="E1035:F1035"/>
    <mergeCell ref="E1049:F1049"/>
    <mergeCell ref="E1054:F1054"/>
    <mergeCell ref="E1069:F1069"/>
    <mergeCell ref="E993:F993"/>
    <mergeCell ref="E998:F998"/>
    <mergeCell ref="E1001:F1001"/>
    <mergeCell ref="E1004:F1004"/>
    <mergeCell ref="E1009:F1009"/>
    <mergeCell ref="E1013:F1013"/>
    <mergeCell ref="E935:F935"/>
    <mergeCell ref="E936:F936"/>
    <mergeCell ref="E953:F953"/>
    <mergeCell ref="E970:F970"/>
    <mergeCell ref="E976:F976"/>
    <mergeCell ref="E988:F988"/>
    <mergeCell ref="E902:F902"/>
    <mergeCell ref="E903:F903"/>
    <mergeCell ref="D904:F904"/>
    <mergeCell ref="E905:F905"/>
    <mergeCell ref="E928:F928"/>
    <mergeCell ref="E929:F929"/>
    <mergeCell ref="E879:F879"/>
    <mergeCell ref="E897:F897"/>
    <mergeCell ref="E898:F898"/>
    <mergeCell ref="E899:F899"/>
    <mergeCell ref="E900:F900"/>
    <mergeCell ref="E901:F901"/>
    <mergeCell ref="E815:F815"/>
    <mergeCell ref="E827:F827"/>
    <mergeCell ref="E851:F851"/>
    <mergeCell ref="E865:F865"/>
    <mergeCell ref="E870:F870"/>
    <mergeCell ref="D878:F878"/>
    <mergeCell ref="E766:F766"/>
    <mergeCell ref="E778:F778"/>
    <mergeCell ref="E779:F779"/>
    <mergeCell ref="E796:F796"/>
    <mergeCell ref="E797:F797"/>
    <mergeCell ref="E814:F814"/>
    <mergeCell ref="E719:F719"/>
    <mergeCell ref="E720:F720"/>
    <mergeCell ref="E732:F732"/>
    <mergeCell ref="E733:F733"/>
    <mergeCell ref="E750:F750"/>
    <mergeCell ref="E765:F765"/>
    <mergeCell ref="E701:F701"/>
    <mergeCell ref="E702:F702"/>
    <mergeCell ref="E704:F704"/>
    <mergeCell ref="E707:F707"/>
    <mergeCell ref="E708:F708"/>
    <mergeCell ref="E656:F656"/>
    <mergeCell ref="E675:F675"/>
    <mergeCell ref="E676:F676"/>
    <mergeCell ref="E677:F677"/>
    <mergeCell ref="E690:F690"/>
    <mergeCell ref="E691:F691"/>
    <mergeCell ref="E634:F634"/>
    <mergeCell ref="E635:F635"/>
    <mergeCell ref="E643:F643"/>
    <mergeCell ref="E653:F653"/>
    <mergeCell ref="E654:F654"/>
    <mergeCell ref="E655:F655"/>
    <mergeCell ref="E594:F594"/>
    <mergeCell ref="E597:F597"/>
    <mergeCell ref="E600:F600"/>
    <mergeCell ref="E619:F619"/>
    <mergeCell ref="E620:F620"/>
    <mergeCell ref="E621:F621"/>
    <mergeCell ref="E558:F558"/>
    <mergeCell ref="E567:F567"/>
    <mergeCell ref="E576:F576"/>
    <mergeCell ref="E584:F584"/>
    <mergeCell ref="B590:D590"/>
    <mergeCell ref="E591:F591"/>
    <mergeCell ref="E535:F535"/>
    <mergeCell ref="E543:F543"/>
    <mergeCell ref="E549:F549"/>
    <mergeCell ref="E550:F550"/>
    <mergeCell ref="E551:F551"/>
    <mergeCell ref="E554:F554"/>
    <mergeCell ref="E500:F500"/>
    <mergeCell ref="E515:F515"/>
    <mergeCell ref="E516:F516"/>
    <mergeCell ref="E517:F517"/>
    <mergeCell ref="B518:D518"/>
    <mergeCell ref="E519:F519"/>
    <mergeCell ref="E445:F445"/>
    <mergeCell ref="E454:F454"/>
    <mergeCell ref="E464:F464"/>
    <mergeCell ref="E473:F473"/>
    <mergeCell ref="E481:F481"/>
    <mergeCell ref="E489:F489"/>
    <mergeCell ref="E378:F378"/>
    <mergeCell ref="E399:F399"/>
    <mergeCell ref="E417:F417"/>
    <mergeCell ref="E427:F427"/>
    <mergeCell ref="E432:F432"/>
    <mergeCell ref="E436:F436"/>
    <mergeCell ref="E261:F261"/>
    <mergeCell ref="E279:F279"/>
    <mergeCell ref="E298:F298"/>
    <mergeCell ref="E319:F319"/>
    <mergeCell ref="E338:F338"/>
    <mergeCell ref="E359:F359"/>
    <mergeCell ref="E225:F225"/>
    <mergeCell ref="E233:F233"/>
    <mergeCell ref="E239:F239"/>
    <mergeCell ref="E243:F243"/>
    <mergeCell ref="E251:F251"/>
    <mergeCell ref="E257:F257"/>
    <mergeCell ref="E198:F198"/>
    <mergeCell ref="E202:F202"/>
    <mergeCell ref="E205:F205"/>
    <mergeCell ref="E207:F207"/>
    <mergeCell ref="E210:F210"/>
    <mergeCell ref="E214:F214"/>
    <mergeCell ref="E183:F183"/>
    <mergeCell ref="E186:F186"/>
    <mergeCell ref="E189:F189"/>
    <mergeCell ref="E192:F192"/>
    <mergeCell ref="E141:F141"/>
    <mergeCell ref="E142:F142"/>
    <mergeCell ref="E148:F148"/>
    <mergeCell ref="E156:F156"/>
    <mergeCell ref="E160:F160"/>
    <mergeCell ref="E169:F169"/>
    <mergeCell ref="E134:F134"/>
    <mergeCell ref="E71:F71"/>
    <mergeCell ref="E79:F79"/>
    <mergeCell ref="E85:F85"/>
    <mergeCell ref="E88:F88"/>
    <mergeCell ref="E92:F92"/>
    <mergeCell ref="E95:F95"/>
    <mergeCell ref="B178:D178"/>
    <mergeCell ref="E180:F180"/>
    <mergeCell ref="E26:F26"/>
    <mergeCell ref="E32:F32"/>
    <mergeCell ref="E703:F703"/>
    <mergeCell ref="B6:D6"/>
    <mergeCell ref="E7:F7"/>
    <mergeCell ref="E10:F10"/>
    <mergeCell ref="E13:F13"/>
    <mergeCell ref="E19:F19"/>
    <mergeCell ref="E22:F22"/>
    <mergeCell ref="E52:F52"/>
    <mergeCell ref="E55:F55"/>
    <mergeCell ref="E61:F61"/>
    <mergeCell ref="E62:F62"/>
    <mergeCell ref="E68:F68"/>
    <mergeCell ref="E69:F69"/>
    <mergeCell ref="E35:F35"/>
    <mergeCell ref="E37:F37"/>
    <mergeCell ref="E41:F41"/>
    <mergeCell ref="E47:F47"/>
    <mergeCell ref="E98:F98"/>
    <mergeCell ref="E116:F116"/>
    <mergeCell ref="E131:F131"/>
    <mergeCell ref="E132:F132"/>
    <mergeCell ref="E133:F133"/>
  </mergeCells>
  <pageMargins left="0.31496062992125984" right="0.15748031496062992" top="0.19685039370078741" bottom="0.31496062992125984" header="0.31496062992125984" footer="0.31496062992125984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корабог</vt:lpstr>
      <vt:lpstr>накопитель корабог  (2)</vt:lpstr>
      <vt:lpstr>корабог!Область_печати</vt:lpstr>
      <vt:lpstr>'накопитель корабог  (2)'!Область_печати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2023-09-20T15:11:30Z</dcterms:modified>
</cp:coreProperties>
</file>